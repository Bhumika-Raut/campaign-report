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moved Test Campaigns" sheetId="1" r:id="rId5"/>
    <sheet state="visible" name="Sheet2" sheetId="2" r:id="rId6"/>
    <sheet state="visible" name="Pivot Table 2" sheetId="3" r:id="rId7"/>
    <sheet state="visible" name="Pivot Table 1" sheetId="4" r:id="rId8"/>
    <sheet state="visible" name="Assumptions" sheetId="5" r:id="rId9"/>
    <sheet state="visible" name="Copy of Assumptions" sheetId="6" r:id="rId10"/>
  </sheets>
  <definedNames/>
  <calcPr/>
  <pivotCaches>
    <pivotCache cacheId="0" r:id="rId11"/>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4">
      <text>
        <t xml:space="preserve">Total Number of shares consumed from Wozku Platform and doesn't calculate reshares (2nd degree shares) happening from LinkedIn</t>
      </text>
    </comment>
    <comment authorId="0" ref="D10">
      <text>
        <t xml:space="preserve">Includes: Sum of Total Followers that each Profile has on LinkedIn
Excludes: All Impression achieved by other people who engage on the post (like, comments, reshare)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4">
      <text>
        <t xml:space="preserve">Total Number of shares consumed from Wozku Platform and doesn't calculate reshares (2nd degree shares) happening from LinkedIn</t>
      </text>
    </comment>
    <comment authorId="0" ref="D10">
      <text>
        <t xml:space="preserve">Includes: Sum of Total Followers that each Profile has on LinkedIn
Excludes: All Impression achieved by other people who engage on the post (like, comments, reshare)</t>
      </text>
    </comment>
  </commentList>
</comments>
</file>

<file path=xl/sharedStrings.xml><?xml version="1.0" encoding="utf-8"?>
<sst xmlns="http://schemas.openxmlformats.org/spreadsheetml/2006/main" count="803" uniqueCount="286">
  <si>
    <t>MIN</t>
  </si>
  <si>
    <t>MEAN</t>
  </si>
  <si>
    <t>MEDIAN</t>
  </si>
  <si>
    <t>MODE</t>
  </si>
  <si>
    <t>MAX</t>
  </si>
  <si>
    <t>f</t>
  </si>
  <si>
    <t>Company</t>
  </si>
  <si>
    <t>Agency</t>
  </si>
  <si>
    <t>campaign_id</t>
  </si>
  <si>
    <t>campaign_title</t>
  </si>
  <si>
    <t>Paid or not</t>
  </si>
  <si>
    <t>potential reach</t>
  </si>
  <si>
    <t>total_share</t>
  </si>
  <si>
    <t>Reach per Share</t>
  </si>
  <si>
    <t>total_clicks</t>
  </si>
  <si>
    <t>Clicks per Share</t>
  </si>
  <si>
    <t>total_comments</t>
  </si>
  <si>
    <t>Comments Per Share</t>
  </si>
  <si>
    <t>total_likes</t>
  </si>
  <si>
    <t>Likes Per Share</t>
  </si>
  <si>
    <t>total_posts</t>
  </si>
  <si>
    <t>Reshare</t>
  </si>
  <si>
    <t>Registrations</t>
  </si>
  <si>
    <t>EMV</t>
  </si>
  <si>
    <t>Direct Savings</t>
  </si>
  <si>
    <t>Total Return</t>
  </si>
  <si>
    <t>ROI (in X)</t>
  </si>
  <si>
    <t>Registration/Share</t>
  </si>
  <si>
    <t>Abhishek Ahuja</t>
  </si>
  <si>
    <t>Autodesk</t>
  </si>
  <si>
    <t>Social Champ Contest</t>
  </si>
  <si>
    <t>Paid</t>
  </si>
  <si>
    <t>Abhishek Sharma</t>
  </si>
  <si>
    <t>MongoDB</t>
  </si>
  <si>
    <t>MongoDB Local BLR</t>
  </si>
  <si>
    <t>MongoDB Local Mumbai</t>
  </si>
  <si>
    <t>MongoDB Local Delhi</t>
  </si>
  <si>
    <t>MongoDB Local London</t>
  </si>
  <si>
    <t>Dry Run</t>
  </si>
  <si>
    <t>Trial</t>
  </si>
  <si>
    <t>ACREX</t>
  </si>
  <si>
    <t>Acrex</t>
  </si>
  <si>
    <t>ACREX 2025</t>
  </si>
  <si>
    <t>Amanat</t>
  </si>
  <si>
    <t>BNI</t>
  </si>
  <si>
    <t>BBC Social Champ Contest</t>
  </si>
  <si>
    <t>BNI Conclave Live</t>
  </si>
  <si>
    <t>Amrit Mishra</t>
  </si>
  <si>
    <t>Pangea Tech</t>
  </si>
  <si>
    <t>Pangea Tech Social Champ</t>
  </si>
  <si>
    <t>Free</t>
  </si>
  <si>
    <t>Atrayee Dutta</t>
  </si>
  <si>
    <t>Commvault</t>
  </si>
  <si>
    <t>Commvault Partner Bootcamp, Bangalore</t>
  </si>
  <si>
    <t>Chaitra Vedullapalli</t>
  </si>
  <si>
    <t>WIC</t>
  </si>
  <si>
    <t>WICxCybersecurity Initative</t>
  </si>
  <si>
    <t>WICxSkillsReadyChallenge</t>
  </si>
  <si>
    <t>#WICxWorldRecord 2024 - In Session Social Contest</t>
  </si>
  <si>
    <t>GTM Momentum Accelerator</t>
  </si>
  <si>
    <t>#WICxWORLDRECORD2024 - IT IS OFFICIAL</t>
  </si>
  <si>
    <t>I Am History In Making</t>
  </si>
  <si>
    <t>WICxICONS Movie Screening</t>
  </si>
  <si>
    <t>AI Innovation Challenge</t>
  </si>
  <si>
    <t>#empowHERaccess Prestige Awards 2024</t>
  </si>
  <si>
    <t>WICxESG 2024</t>
  </si>
  <si>
    <t>#WICxInsiderCircle - Top100 Global Speaker Preparedness Program</t>
  </si>
  <si>
    <t>#WICxWellness Summit 2025</t>
  </si>
  <si>
    <t>WICxWorldRecord Title Attempt</t>
  </si>
  <si>
    <t>#CosellVelocity GTM Summit 2024</t>
  </si>
  <si>
    <t>WICxCLOUDCXO Series</t>
  </si>
  <si>
    <t>WICxInsider Circle</t>
  </si>
  <si>
    <t>WICxCXO Sessions</t>
  </si>
  <si>
    <t>WICxINSPIRE2024</t>
  </si>
  <si>
    <t>CII</t>
  </si>
  <si>
    <t>Live-GreenCo Summit 2024</t>
  </si>
  <si>
    <t>GreenCo Summit 2024</t>
  </si>
  <si>
    <t>CII Certified Professional in Resource Efficiency and Environmental Sustainability</t>
  </si>
  <si>
    <t>Courtney Killough</t>
  </si>
  <si>
    <t>ElasticON</t>
  </si>
  <si>
    <t>ElasticON Tour NYC</t>
  </si>
  <si>
    <t>Dev</t>
  </si>
  <si>
    <t>Veeam</t>
  </si>
  <si>
    <t>2024 Global Cyber Incident Report</t>
  </si>
  <si>
    <t>Devashish Sharma</t>
  </si>
  <si>
    <t>Salesforce</t>
  </si>
  <si>
    <t>Salesforce Social Champ Contest</t>
  </si>
  <si>
    <t>Himanshu Keystone</t>
  </si>
  <si>
    <t>Keystone</t>
  </si>
  <si>
    <t>AI Summit 28 Feb</t>
  </si>
  <si>
    <t>Salesforce Industries Virtual Summit 2024 - Live</t>
  </si>
  <si>
    <t>Salesforce Great India Growth Summit</t>
  </si>
  <si>
    <t>Salesforce AI Virtual Summit - 2024</t>
  </si>
  <si>
    <t>Great India Growth Summit WA</t>
  </si>
  <si>
    <t>Salesforce Industries Virtual Summit 2024</t>
  </si>
  <si>
    <t>Salesforce Trailblazer Thursdays</t>
  </si>
  <si>
    <t>Kailash Ahuja</t>
  </si>
  <si>
    <t>Dell</t>
  </si>
  <si>
    <t>Coffee With Dell - 07 March</t>
  </si>
  <si>
    <t>Kamanashish Roy</t>
  </si>
  <si>
    <t>Salesforce GSS</t>
  </si>
  <si>
    <t>Great India Growth Summit</t>
  </si>
  <si>
    <t>HPE</t>
  </si>
  <si>
    <t>HPE NVIDIA AI Summit</t>
  </si>
  <si>
    <t>Salesforce AI Virtual Summit</t>
  </si>
  <si>
    <t>MicroGenesis</t>
  </si>
  <si>
    <t>MicroGenesis Executive Connect: Shaping the Future of the AEC Industry</t>
  </si>
  <si>
    <t>Kyndryl</t>
  </si>
  <si>
    <t>State Of Sales</t>
  </si>
  <si>
    <t>Atria</t>
  </si>
  <si>
    <t>State Level Project Exhibition 2024 - Live</t>
  </si>
  <si>
    <t>Atria Alumni</t>
  </si>
  <si>
    <t>karthik</t>
  </si>
  <si>
    <t>Red Hat</t>
  </si>
  <si>
    <t>Red Hat Summit: Connect 2024 Live</t>
  </si>
  <si>
    <t>Red Hat Ansible Automates Live</t>
  </si>
  <si>
    <t>RHSC-Mumbai Virtual</t>
  </si>
  <si>
    <t>Red Hat Ansible Automates Live Streaming</t>
  </si>
  <si>
    <t>Tech Talks</t>
  </si>
  <si>
    <t>Kushagra Sharma</t>
  </si>
  <si>
    <t>Veeam ProPartner Summit 2024</t>
  </si>
  <si>
    <t>VeeamOnTour Delhi</t>
  </si>
  <si>
    <t>Veeam Champ HPE</t>
  </si>
  <si>
    <t>VeeamON</t>
  </si>
  <si>
    <t>VeeamOnTour Bangalore</t>
  </si>
  <si>
    <t>Veeam ProPartner Summit 2024 - Live</t>
  </si>
  <si>
    <t>(Test) Veeam On</t>
  </si>
  <si>
    <t>VeeamOnTour24</t>
  </si>
  <si>
    <t>VOT Mumbai</t>
  </si>
  <si>
    <t>VeeamON Tour Delhi</t>
  </si>
  <si>
    <t>VeeamON Tour Mumbai 2024</t>
  </si>
  <si>
    <t>EmergeTech 2024 Delhi</t>
  </si>
  <si>
    <t>EmergeTech 2024 Chennai</t>
  </si>
  <si>
    <t>EmergeTech Mumbai Veeam</t>
  </si>
  <si>
    <t>VeeamON Bangalore Live</t>
  </si>
  <si>
    <t>Veeam ProPartner Summit 2023</t>
  </si>
  <si>
    <t>Backup as a Service</t>
  </si>
  <si>
    <t>EmergeTech July 2024</t>
  </si>
  <si>
    <t>Women In Cloud</t>
  </si>
  <si>
    <t>VeeamON Delhi</t>
  </si>
  <si>
    <t>Veeam ProPartner Summit - Pre Event</t>
  </si>
  <si>
    <t>Google Cloud Next</t>
  </si>
  <si>
    <t>Lubna Farooqui</t>
  </si>
  <si>
    <t>CII Education East Summit</t>
  </si>
  <si>
    <t>Manish Lawankar</t>
  </si>
  <si>
    <t>HPE Discover AI</t>
  </si>
  <si>
    <t>Naresh</t>
  </si>
  <si>
    <t>SMB</t>
  </si>
  <si>
    <t>Journeys Live Mumbai Morning</t>
  </si>
  <si>
    <t>Journeys Live Mumbai Evening</t>
  </si>
  <si>
    <t>I am a cyber warrior</t>
  </si>
  <si>
    <t>SMB Digital Yatra Live - Patna</t>
  </si>
  <si>
    <t>SMB Connect - Vadodara</t>
  </si>
  <si>
    <t>SMBConnect- The Rise Delhi Event</t>
  </si>
  <si>
    <t>SMB Digital Yatra Ahmedabad</t>
  </si>
  <si>
    <t>SMB Digital Yatra 2024</t>
  </si>
  <si>
    <t>SMB Digital Yatra Live - Chandigarh (M)</t>
  </si>
  <si>
    <t>I have joined the SMB Digital Yatra</t>
  </si>
  <si>
    <t>SMB Connect Ahmedabad</t>
  </si>
  <si>
    <t>SMB Digital Yatra Live - Patna (Evening)</t>
  </si>
  <si>
    <t>SMBConnect- The Rise Jaipur Event</t>
  </si>
  <si>
    <t>SMB Digital Yatra Live - Chandigarh (Evening)</t>
  </si>
  <si>
    <t>SMBConnect- The Rise Kanpur Event</t>
  </si>
  <si>
    <t>Neeraj Ahuja</t>
  </si>
  <si>
    <t>OpenText</t>
  </si>
  <si>
    <t>Technology Horoscope</t>
  </si>
  <si>
    <t>Realize 2023 Virtual Summit</t>
  </si>
  <si>
    <t>Nikhil Modi</t>
  </si>
  <si>
    <t>Phillips Machine Tool</t>
  </si>
  <si>
    <t>IMTOF Chennai</t>
  </si>
  <si>
    <t>Haas VF-SS-I Series Launch</t>
  </si>
  <si>
    <t>Formlabs Form 4  Launch Event</t>
  </si>
  <si>
    <t>MetalTech - Malaysia 2024</t>
  </si>
  <si>
    <t>Phillips PCM 220 Compact Machining Center</t>
  </si>
  <si>
    <t>Unlock Innovation with Formlabs Form 4!</t>
  </si>
  <si>
    <t>Phillips Demo Day -Edition 3, Noida!</t>
  </si>
  <si>
    <t>Phillips Additive Expert at IIT Delhi</t>
  </si>
  <si>
    <t>Revolutionize Your Workflow with the Formlabs Form 4 3D Printer</t>
  </si>
  <si>
    <t>Phillips Additive Team At Drone Expo 2024</t>
  </si>
  <si>
    <t>AeroDef Symposium 2024 New</t>
  </si>
  <si>
    <t>Phillips Additive at National Additive Manufacturing Symposium</t>
  </si>
  <si>
    <t>AMRACE OPEN HOUSE POWERED BY PETECH!</t>
  </si>
  <si>
    <t>India Skills Event</t>
  </si>
  <si>
    <t>Desert Motors's Success With Haas Machines!</t>
  </si>
  <si>
    <t>Phillips Additive EOS Partnership</t>
  </si>
  <si>
    <t>See How Escon Enhances Productivity with Haas!</t>
  </si>
  <si>
    <t>Meltio Webinar New</t>
  </si>
  <si>
    <t>Phillips Additive in IIT Delhi!</t>
  </si>
  <si>
    <t>Nitish</t>
  </si>
  <si>
    <t>Yourstory</t>
  </si>
  <si>
    <t>TechSparks Bengaluru 2024</t>
  </si>
  <si>
    <t>Payal Doshi</t>
  </si>
  <si>
    <t>Formlabs</t>
  </si>
  <si>
    <t>Automotive webinar (3rd Oct)</t>
  </si>
  <si>
    <t>Nylon 12 White and Tough Launch</t>
  </si>
  <si>
    <t>F4L launch (INDIA)</t>
  </si>
  <si>
    <t>Fuse Blast Polishing System Launch</t>
  </si>
  <si>
    <t>SLS Accuracy Campaign - ISO 2768-1 Tier 1</t>
  </si>
  <si>
    <t>Webinar-F4L-Invite-23rd-oct</t>
  </si>
  <si>
    <t>F4L launch (ANZ)</t>
  </si>
  <si>
    <t>F4L launch- (SEA)</t>
  </si>
  <si>
    <t>Webinar- SLS update + HiveIQ &amp; BR</t>
  </si>
  <si>
    <t>Form 4 Reliability Study</t>
  </si>
  <si>
    <t>Test Campaign - Scheduler</t>
  </si>
  <si>
    <t>Adam Savage‚Äôs YT video</t>
  </si>
  <si>
    <t>Webinar: Metal Fabrication- Jigs &amp; Fixtures</t>
  </si>
  <si>
    <t>F4L launch- Internal (Japanese)</t>
  </si>
  <si>
    <t>bulk powder / resin (Internal)</t>
  </si>
  <si>
    <t>Piyali</t>
  </si>
  <si>
    <t>SamvAAd</t>
  </si>
  <si>
    <t>SamvAAd 2024</t>
  </si>
  <si>
    <t>Pranalika</t>
  </si>
  <si>
    <t>GHCI</t>
  </si>
  <si>
    <t>GHCI 2024 India</t>
  </si>
  <si>
    <t>Praveen Kumar Soma</t>
  </si>
  <si>
    <t>GreenPro Summit Social Champ Contest</t>
  </si>
  <si>
    <t>CII Greenpro Summit 2024</t>
  </si>
  <si>
    <t>Raisa Vaz</t>
  </si>
  <si>
    <t>Markedeo</t>
  </si>
  <si>
    <t>BFSI &amp; Fintech Summit 2024</t>
  </si>
  <si>
    <t>Raja Reddy</t>
  </si>
  <si>
    <t>IGBC Conference - Live</t>
  </si>
  <si>
    <t>Winner</t>
  </si>
  <si>
    <t>Expo</t>
  </si>
  <si>
    <t>Pre-event</t>
  </si>
  <si>
    <t>GBC - Speakers</t>
  </si>
  <si>
    <t>Exhibitor</t>
  </si>
  <si>
    <t>Rohan Gandhi</t>
  </si>
  <si>
    <t>ET</t>
  </si>
  <si>
    <t>ET GBS 2024</t>
  </si>
  <si>
    <t>RP Singh</t>
  </si>
  <si>
    <t>B2B World Summit</t>
  </si>
  <si>
    <t>Sarim Zia</t>
  </si>
  <si>
    <t>ElasticON Tour Bengaluru 2024</t>
  </si>
  <si>
    <t>ElasticON Singapore</t>
  </si>
  <si>
    <t>ElasticON Singapore - Spread The Word</t>
  </si>
  <si>
    <t>Elastic ON Bengaluru</t>
  </si>
  <si>
    <t>Tarun Goyal</t>
  </si>
  <si>
    <t>Accelerating tomorrow‚Äôs innovation today - Cito</t>
  </si>
  <si>
    <t>Accelerating tomorrow‚Äôs innovation today - Dev IT</t>
  </si>
  <si>
    <t>Accelerating tomorrow‚Äôs innovation today - Dynacons</t>
  </si>
  <si>
    <t>Accelerating tomorrow‚Äôs innovation today - ArrowPC</t>
  </si>
  <si>
    <t>Accelerating tomorrow‚Äôs innovation today</t>
  </si>
  <si>
    <t>TECH OBSERVER</t>
  </si>
  <si>
    <t>Tech Observer</t>
  </si>
  <si>
    <t>DefTech 2024</t>
  </si>
  <si>
    <t>Thakur Pherwani</t>
  </si>
  <si>
    <t>TVS</t>
  </si>
  <si>
    <t>TVS Sustainability Ambassador Programme</t>
  </si>
  <si>
    <t>TVS Motors- GIM2025</t>
  </si>
  <si>
    <t>IIMA Chaos</t>
  </si>
  <si>
    <t>Customer Name</t>
  </si>
  <si>
    <t>No.of post created</t>
  </si>
  <si>
    <t>No. of Form Submissiom</t>
  </si>
  <si>
    <t>SUM of total_share</t>
  </si>
  <si>
    <t>SUM of total_clicks</t>
  </si>
  <si>
    <t>SUM of Registrations</t>
  </si>
  <si>
    <t>Grand Total</t>
  </si>
  <si>
    <t>SUM of Total Return</t>
  </si>
  <si>
    <t>AVERAGE of ROI (in X)</t>
  </si>
  <si>
    <t>How much are you spending for</t>
  </si>
  <si>
    <t>In INR</t>
  </si>
  <si>
    <t>Reasons</t>
  </si>
  <si>
    <t>Cost Per Impression</t>
  </si>
  <si>
    <t>Avg Industry CMP on LinkedIn in India is Rs 500, hence for each impression it is .50p</t>
  </si>
  <si>
    <t>Cost Per Click</t>
  </si>
  <si>
    <t>Avg Industry CPC on LInkedIn in India is Rs 160. CPC can vary drastically and go up to Rs 2000 to Rs 5000 in some cases.</t>
  </si>
  <si>
    <t>Impression Multiplier</t>
  </si>
  <si>
    <t>Sample Data from One Campaign</t>
  </si>
  <si>
    <t>Potential Impression</t>
  </si>
  <si>
    <t xml:space="preserve">Any post that goes out is assumed to have a 12%-15% visibilty from the follower newtwork of any profile. The Potential Impression in "sample data" column is the sum of followers that the participants who shared a post have. Consider this: If a participant has 1000 followers and he shares a post, he would get 120 to 150 impression on his post (12%-15% of total followers). </t>
  </si>
  <si>
    <t>Clicks</t>
  </si>
  <si>
    <t>Clicks is the count of number of people who clicked on any link that is there in the post. In few cases where there is no link in the post, there would be no click data for that campaign. It is worth noting that each click further amplifies a post but for the sake of calculation, impressions from clicks are not considered for EMV calculation rather CPC is considered.</t>
  </si>
  <si>
    <t>Reactions (Likes)</t>
  </si>
  <si>
    <t>For each reaction that someone gets on his post, it is assumed at least 5% of his own followers and a fraction of people in the network of the person who liked the post will receive the post in their feed.</t>
  </si>
  <si>
    <t>Comments</t>
  </si>
  <si>
    <t>For each comment that someone gets on his post, it is assumed at least 10% of his own followers and a fraction of people in the network of the person who commented on the post will receive the post in their feed.</t>
  </si>
  <si>
    <t>Shares</t>
  </si>
  <si>
    <t>Reshares</t>
  </si>
  <si>
    <t>It is assumed that each post will get at least 2 more shares, gathering 100 more impressions each.</t>
  </si>
  <si>
    <t>Click2Registration</t>
  </si>
  <si>
    <t>Based on all the campaigns ever run through Wozku, Avg C2R is 26%.</t>
  </si>
  <si>
    <t>Cost per Registration</t>
  </si>
  <si>
    <t>This is the minimum cost any client spends to get one registration for their physical/virtual event.</t>
  </si>
  <si>
    <t>Cost per Share</t>
  </si>
  <si>
    <t>This is the cost of consuming one share on Wozku.</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</si>
</sst>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0"/>
    <numFmt numFmtId="166" formatCode="[&gt;=10000000]##\,##\,##\, # #0; [&gt;=100000] ##\, ##\,##0;##,##0"/>
  </numFmts>
  <fonts count="7">
    <font>
      <sz val="12.0"/>
      <color theme="1"/>
      <name val="Calibri"/>
      <scheme val="minor"/>
    </font>
    <font>
      <color theme="1"/>
      <name val="Calibri"/>
      <scheme val="minor"/>
    </font>
    <font>
      <sz val="12.0"/>
      <color theme="1"/>
      <name val="Calibri"/>
    </font>
    <font>
      <color theme="1"/>
      <name val="Space Grotesk"/>
    </font>
    <font>
      <b/>
      <sz val="12.0"/>
      <color theme="1"/>
      <name val="Space Grotesk"/>
    </font>
    <font>
      <b/>
      <color theme="1"/>
      <name val="Calibri"/>
      <scheme val="minor"/>
    </font>
    <font>
      <sz val="12.0"/>
      <color theme="1"/>
      <name val="Space Grotesk"/>
    </font>
  </fonts>
  <fills count="6">
    <fill>
      <patternFill patternType="none"/>
    </fill>
    <fill>
      <patternFill patternType="lightGray"/>
    </fill>
    <fill>
      <patternFill patternType="solid">
        <fgColor rgb="FFEA9999"/>
        <bgColor rgb="FFEA9999"/>
      </patternFill>
    </fill>
    <fill>
      <patternFill patternType="solid">
        <fgColor rgb="FFC9DAF8"/>
        <bgColor rgb="FFC9DAF8"/>
      </patternFill>
    </fill>
    <fill>
      <patternFill patternType="solid">
        <fgColor rgb="FFCCCCCC"/>
        <bgColor rgb="FFCCCCCC"/>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Font="1"/>
    <xf borderId="0" fillId="0" fontId="1" numFmtId="2" xfId="0" applyFont="1" applyNumberFormat="1"/>
    <xf borderId="0" fillId="0" fontId="1" numFmtId="164" xfId="0" applyFont="1" applyNumberFormat="1"/>
    <xf borderId="0" fillId="0" fontId="1" numFmtId="4" xfId="0" applyFont="1" applyNumberFormat="1"/>
    <xf borderId="0" fillId="0" fontId="1" numFmtId="0" xfId="0" applyAlignment="1" applyFont="1">
      <alignment readingOrder="0"/>
    </xf>
    <xf borderId="0" fillId="0" fontId="1" numFmtId="164" xfId="0" applyAlignment="1" applyFont="1" applyNumberFormat="1">
      <alignment readingOrder="0"/>
    </xf>
    <xf borderId="0" fillId="0" fontId="1" numFmtId="4" xfId="0" applyAlignment="1" applyFont="1" applyNumberFormat="1">
      <alignment readingOrder="0"/>
    </xf>
    <xf borderId="0" fillId="0" fontId="2" numFmtId="2" xfId="0" applyFont="1" applyNumberFormat="1"/>
    <xf borderId="0" fillId="2" fontId="1" numFmtId="0" xfId="0" applyAlignment="1" applyFill="1" applyFont="1">
      <alignment readingOrder="0"/>
    </xf>
    <xf borderId="0" fillId="0" fontId="1" numFmtId="165" xfId="0" applyFont="1" applyNumberFormat="1"/>
    <xf borderId="0" fillId="0" fontId="3" numFmtId="0" xfId="0" applyFont="1"/>
    <xf borderId="0" fillId="0" fontId="3" numFmtId="0" xfId="0" applyAlignment="1" applyFont="1">
      <alignment readingOrder="0"/>
    </xf>
    <xf borderId="0" fillId="0" fontId="3" numFmtId="164" xfId="0" applyAlignment="1" applyFont="1" applyNumberFormat="1">
      <alignment readingOrder="0"/>
    </xf>
    <xf borderId="0" fillId="0" fontId="3" numFmtId="4" xfId="0" applyAlignment="1" applyFont="1" applyNumberFormat="1">
      <alignment readingOrder="0"/>
    </xf>
    <xf borderId="1" fillId="0" fontId="1" numFmtId="0" xfId="0" applyBorder="1" applyFont="1"/>
    <xf borderId="1" fillId="3" fontId="4" numFmtId="0" xfId="0" applyAlignment="1" applyBorder="1" applyFill="1" applyFont="1">
      <alignment vertical="bottom"/>
    </xf>
    <xf borderId="1" fillId="0" fontId="5" numFmtId="0" xfId="0" applyAlignment="1" applyBorder="1" applyFont="1">
      <alignment readingOrder="0"/>
    </xf>
    <xf borderId="1" fillId="0" fontId="6" numFmtId="0" xfId="0" applyAlignment="1" applyBorder="1" applyFont="1">
      <alignment vertical="bottom"/>
    </xf>
    <xf borderId="1" fillId="4" fontId="6" numFmtId="164" xfId="0" applyAlignment="1" applyBorder="1" applyFill="1" applyFont="1" applyNumberFormat="1">
      <alignment horizontal="right" vertical="bottom"/>
    </xf>
    <xf borderId="1" fillId="0" fontId="1" numFmtId="0" xfId="0" applyAlignment="1" applyBorder="1" applyFont="1">
      <alignment readingOrder="0" shrinkToFit="0" wrapText="1"/>
    </xf>
    <xf borderId="1" fillId="4" fontId="6" numFmtId="164" xfId="0" applyAlignment="1" applyBorder="1" applyFont="1" applyNumberFormat="1">
      <alignment horizontal="right" readingOrder="0" vertical="bottom"/>
    </xf>
    <xf borderId="1" fillId="0" fontId="1" numFmtId="0" xfId="0" applyAlignment="1" applyBorder="1" applyFont="1">
      <alignment shrinkToFit="0" wrapText="1"/>
    </xf>
    <xf borderId="1" fillId="0" fontId="5" numFmtId="0" xfId="0" applyAlignment="1" applyBorder="1" applyFont="1">
      <alignment readingOrder="0" shrinkToFit="0" wrapText="1"/>
    </xf>
    <xf borderId="1" fillId="0" fontId="6" numFmtId="0" xfId="0" applyBorder="1" applyFont="1"/>
    <xf borderId="1" fillId="0" fontId="1" numFmtId="0" xfId="0" applyAlignment="1" applyBorder="1" applyFont="1">
      <alignment readingOrder="0"/>
    </xf>
    <xf borderId="1" fillId="4" fontId="6" numFmtId="166" xfId="0" applyAlignment="1" applyBorder="1" applyFont="1" applyNumberFormat="1">
      <alignment horizontal="right"/>
    </xf>
    <xf borderId="1" fillId="0" fontId="6" numFmtId="0" xfId="0" applyBorder="1" applyFont="1"/>
    <xf borderId="1" fillId="5" fontId="6" numFmtId="166" xfId="0" applyAlignment="1" applyBorder="1" applyFill="1" applyFont="1" applyNumberFormat="1">
      <alignment horizontal="right"/>
    </xf>
    <xf borderId="1" fillId="0" fontId="1" numFmtId="164" xfId="0" applyBorder="1" applyFont="1" applyNumberFormat="1"/>
    <xf borderId="1" fillId="0" fontId="1" numFmtId="9" xfId="0" applyAlignment="1" applyBorder="1" applyFont="1" applyNumberFormat="1">
      <alignment readingOrder="0"/>
    </xf>
    <xf borderId="1" fillId="4" fontId="6" numFmtId="166" xfId="0" applyAlignment="1" applyBorder="1" applyFont="1" applyNumberForma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6:V169" sheet="Removed Test Campaigns"/>
  </cacheSource>
  <cacheFields>
    <cacheField name="f" numFmtId="0">
      <sharedItems>
        <s v="Abhishek Ahuja"/>
        <s v="Abhishek Sharma"/>
        <s v="ACREX"/>
        <s v="Amanat"/>
        <s v="Amrit Mishra"/>
        <s v="Atrayee Dutta"/>
        <s v="Chaitra Vedullapalli"/>
        <s v="CII"/>
        <s v="Courtney Killough"/>
        <s v="Dev"/>
        <s v="Devashish Sharma"/>
        <s v="Himanshu Keystone"/>
        <s v="Kailash Ahuja"/>
        <s v="Kamanashish Roy"/>
        <s v="karthik"/>
        <s v="Kushagra Sharma"/>
        <s v="Lubna Farooqui"/>
        <s v="Manish Lawankar"/>
        <s v="Naresh"/>
        <s v="Neeraj Ahuja"/>
        <s v="Nikhil Modi"/>
        <s v="Nitish"/>
        <s v="Payal Doshi"/>
        <s v="Piyali"/>
        <s v="Pranalika"/>
        <s v="Praveen Kumar Soma"/>
        <s v="Raisa Vaz"/>
        <s v="Raja Reddy"/>
        <s v="Rohan Gandhi"/>
        <s v="RP Singh"/>
        <s v="Sarim Zia"/>
        <s v="Tarun Goyal"/>
        <s v="TECH OBSERVER"/>
        <s v="Thakur Pherwani"/>
      </sharedItems>
    </cacheField>
    <cacheField name="Company" numFmtId="0">
      <sharedItems>
        <s v="Autodesk"/>
        <s v="MongoDB"/>
        <s v="Acrex"/>
        <s v="BNI"/>
        <s v="Pangea Tech"/>
        <s v="Commvault"/>
        <s v="WIC"/>
        <s v="CII"/>
        <s v="ElasticON"/>
        <s v="Veeam"/>
        <s v="Salesforce"/>
        <s v="Dell"/>
        <s v="HPE"/>
        <s v="MicroGenesis"/>
        <s v="Kyndryl"/>
        <s v="Atria"/>
        <s v="Red Hat"/>
        <s v="SMB"/>
        <s v="OpenText"/>
        <s v="Phillips Machine Tool"/>
        <s v="Yourstory"/>
        <s v="Formlabs"/>
        <s v="SamvAAd"/>
        <s v="GHCI"/>
        <s v="Markedeo"/>
        <s v="ET"/>
        <s v="B2B World Summit"/>
        <s v="Tech Observer"/>
        <s v="TVS"/>
      </sharedItems>
    </cacheField>
    <cacheField name="Agency" numFmtId="0">
      <sharedItems containsBlank="1">
        <m/>
        <s v="Keystone"/>
        <s v="Markedeo"/>
      </sharedItems>
    </cacheField>
    <cacheField name="campaign_id" numFmtId="0">
      <sharedItems containsSemiMixedTypes="0" containsString="0" containsNumber="1" containsInteger="1">
        <n v="343.0"/>
        <n v="231.0"/>
        <n v="237.0"/>
        <n v="232.0"/>
        <n v="243.0"/>
        <n v="230.0"/>
        <n v="370.0"/>
        <n v="309.0"/>
        <n v="339.0"/>
        <n v="322.0"/>
        <n v="182.0"/>
        <n v="86.0"/>
        <n v="139.0"/>
        <n v="70.0"/>
        <n v="82.0"/>
        <n v="75.0"/>
        <n v="88.0"/>
        <n v="92.0"/>
        <n v="95.0"/>
        <n v="138.0"/>
        <n v="247.0"/>
        <n v="112.0"/>
        <n v="345.0"/>
        <n v="68.0"/>
        <n v="90.0"/>
        <n v="210.0"/>
        <n v="105.0"/>
        <n v="159.0"/>
        <n v="160.0"/>
        <n v="165.0"/>
        <n v="148.0"/>
        <n v="177.0"/>
        <n v="285.0"/>
        <n v="329.0"/>
        <n v="211.0"/>
        <n v="336.0"/>
        <n v="318.0"/>
        <n v="271.0"/>
        <n v="241.0"/>
        <n v="319.0"/>
        <n v="244.0"/>
        <n v="307.0"/>
        <n v="328.0"/>
        <n v="378.0"/>
        <n v="113.0"/>
        <n v="195.0"/>
        <n v="291.0"/>
        <n v="209.0"/>
        <n v="192.0"/>
        <n v="102.0"/>
        <n v="215.0"/>
        <n v="110.0"/>
        <n v="109.0"/>
        <n v="281.0"/>
        <n v="153.0"/>
        <n v="283.0"/>
        <n v="142.0"/>
        <n v="158.0"/>
        <n v="79.0"/>
        <n v="29.0"/>
        <n v="317.0"/>
        <n v="205.0"/>
        <n v="22.0"/>
        <n v="84.0"/>
        <n v="20.0"/>
        <n v="197.0"/>
        <n v="238.0"/>
        <n v="214.0"/>
        <n v="236.0"/>
        <n v="140.0"/>
        <n v="149.0"/>
        <n v="161.0"/>
        <n v="204.0"/>
        <n v="10.0"/>
        <n v="141.0"/>
        <n v="181.0"/>
        <n v="213.0"/>
        <n v="23.0"/>
        <n v="212.0"/>
        <n v="372.0"/>
        <n v="81.0"/>
        <n v="299.0"/>
        <n v="316.0"/>
        <n v="218.0"/>
        <n v="220.0"/>
        <n v="17.0"/>
        <n v="24.0"/>
        <n v="32.0"/>
        <n v="61.0"/>
        <n v="71.0"/>
        <n v="67.0"/>
        <n v="31.0"/>
        <n v="18.0"/>
        <n v="30.0"/>
        <n v="28.0"/>
        <n v="62.0"/>
        <n v="37.0"/>
        <n v="33.0"/>
        <n v="38.0"/>
        <n v="4.0"/>
        <n v="3.0"/>
        <n v="101.0"/>
        <n v="145.0"/>
        <n v="123.0"/>
        <n v="128.0"/>
        <n v="168.0"/>
        <n v="136.0"/>
        <n v="183.0"/>
        <n v="156.0"/>
        <n v="169.0"/>
        <n v="170.0"/>
        <n v="311.0"/>
        <n v="118.0"/>
        <n v="157.0"/>
        <n v="248.0"/>
        <n v="133.0"/>
        <n v="186.0"/>
        <n v="224.0"/>
        <n v="297.0"/>
        <n v="180.0"/>
        <n v="155.0"/>
        <n v="193.0"/>
        <n v="240.0"/>
        <n v="253.0"/>
        <n v="254.0"/>
        <n v="219.0"/>
        <n v="245.0"/>
        <n v="286.0"/>
        <n v="252.0"/>
        <n v="255.0"/>
        <n v="310.0"/>
        <n v="348.0"/>
        <n v="270.0"/>
        <n v="273.0"/>
        <n v="350.0"/>
        <n v="258.0"/>
        <n v="292.0"/>
        <n v="305.0"/>
        <n v="308.0"/>
        <n v="272.0"/>
        <n v="216.0"/>
        <n v="189.0"/>
        <n v="301.0"/>
        <n v="304.0"/>
        <n v="303.0"/>
        <n v="284.0"/>
        <n v="287.0"/>
        <n v="279.0"/>
        <n v="77.0"/>
        <n v="366.0"/>
        <n v="242.0"/>
        <n v="85.0"/>
        <n v="87.0"/>
        <n v="46.0"/>
        <n v="332.0"/>
        <n v="321.0"/>
        <n v="320.0"/>
        <n v="340.0"/>
        <n v="314.0"/>
        <n v="74.0"/>
        <n v="315.0"/>
        <n v="361.0"/>
        <n v="330.0"/>
      </sharedItems>
    </cacheField>
    <cacheField name="campaign_title" numFmtId="0">
      <sharedItems>
        <s v="Social Champ Contest"/>
        <s v="MongoDB Local BLR"/>
        <s v="MongoDB Local Mumbai"/>
        <s v="MongoDB Local Delhi"/>
        <s v="MongoDB Local London"/>
        <s v="Dry Run"/>
        <s v="ACREX 2025"/>
        <s v="BBC Social Champ Contest"/>
        <s v="BNI Conclave Live"/>
        <s v="Pangea Tech Social Champ"/>
        <s v="Commvault Partner Bootcamp, Bangalore"/>
        <s v="WICxCybersecurity Initative"/>
        <s v="WICxSkillsReadyChallenge"/>
        <s v="#WICxWorldRecord 2024 - In Session Social Contest"/>
        <s v="GTM Momentum Accelerator"/>
        <s v="#WICxWORLDRECORD2024 - IT IS OFFICIAL"/>
        <s v="I Am History In Making"/>
        <s v="WICxICONS Movie Screening"/>
        <s v="AI Innovation Challenge"/>
        <s v="#empowHERaccess Prestige Awards 2024"/>
        <s v="WICxESG 2024"/>
        <s v="#WICxInsiderCircle - Top100 Global Speaker Preparedness Program"/>
        <s v="#WICxWellness Summit 2025"/>
        <s v="WICxWorldRecord Title Attempt"/>
        <s v="#CosellVelocity GTM Summit 2024"/>
        <s v="WICxCLOUDCXO Series"/>
        <s v="WICxInsider Circle"/>
        <s v="WICxCXO Sessions"/>
        <s v="WICxINSPIRE2024"/>
        <s v="Live-GreenCo Summit 2024"/>
        <s v="GreenCo Summit 2024"/>
        <s v="CII Certified Professional in Resource Efficiency and Environmental Sustainability"/>
        <s v="ElasticON Tour NYC"/>
        <s v="2024 Global Cyber Incident Report"/>
        <s v="Salesforce Social Champ Contest"/>
        <s v="AI Summit 28 Feb"/>
        <s v="Salesforce Industries Virtual Summit 2024 - Live"/>
        <s v="Salesforce Great India Growth Summit"/>
        <s v="Salesforce AI Virtual Summit - 2024"/>
        <s v="Great India Growth Summit WA"/>
        <s v="Salesforce Industries Virtual Summit 2024"/>
        <s v="Salesforce Trailblazer Thursdays"/>
        <s v="Coffee With Dell - 07 March"/>
        <s v="Salesforce GSS"/>
        <s v="Great India Growth Summit"/>
        <s v="HPE NVIDIA AI Summit"/>
        <s v="Salesforce AI Virtual Summit"/>
        <s v="MicroGenesis Executive Connect: Shaping the Future of the AEC Industry"/>
        <s v="Kyndryl"/>
        <s v="State Of Sales"/>
        <s v="State Level Project Exhibition 2024 - Live"/>
        <s v="Atria Alumni"/>
        <s v="Red Hat Summit: Connect 2024 Live"/>
        <s v="Red Hat Ansible Automates Live"/>
        <s v="RHSC-Mumbai Virtual"/>
        <s v="Red Hat Ansible Automates Live Streaming"/>
        <s v="Tech Talks"/>
        <s v="Veeam ProPartner Summit 2024"/>
        <s v="VeeamOnTour Delhi"/>
        <s v="Veeam Champ HPE"/>
        <s v="VeeamON"/>
        <s v="VeeamOnTour Bangalore"/>
        <s v="Veeam ProPartner Summit 2024 - Live"/>
        <s v="(Test) Veeam On"/>
        <s v="VeeamOnTour24"/>
        <s v="VOT Mumbai"/>
        <s v="VeeamON Tour Delhi"/>
        <s v="VeeamON Tour Mumbai 2024"/>
        <s v="EmergeTech 2024 Delhi"/>
        <s v="EmergeTech 2024 Chennai"/>
        <s v="EmergeTech Mumbai Veeam"/>
        <s v="VeeamON Bangalore Live"/>
        <s v="Veeam ProPartner Summit 2023"/>
        <s v="Backup as a Service"/>
        <s v="EmergeTech July 2024"/>
        <s v="Women In Cloud"/>
        <s v="VeeamON Delhi"/>
        <s v="Veeam ProPartner Summit - Pre Event"/>
        <s v="Google Cloud Next"/>
        <s v="CII Education East Summit"/>
        <s v="HPE Discover AI"/>
        <s v="Journeys Live Mumbai Morning"/>
        <s v="Journeys Live Mumbai Evening"/>
        <s v="I am a cyber warrior"/>
        <s v="SMB Digital Yatra Live - Patna"/>
        <s v="SMB Connect - Vadodara"/>
        <s v="SMBConnect- The Rise Delhi Event"/>
        <s v="SMB Digital Yatra Ahmedabad"/>
        <s v="SMB Digital Yatra 2024"/>
        <s v="SMB Digital Yatra Live - Chandigarh (M)"/>
        <s v="I have joined the SMB Digital Yatra"/>
        <s v="SMB Connect Ahmedabad"/>
        <s v="SMB Digital Yatra Live - Patna (Evening)"/>
        <s v="SMBConnect- The Rise Jaipur Event"/>
        <s v="SMB Digital Yatra Live - Chandigarh (Evening)"/>
        <s v="SMBConnect- The Rise Kanpur Event"/>
        <s v="Technology Horoscope"/>
        <s v="Realize 2023 Virtual Summit"/>
        <s v="IMTOF Chennai"/>
        <s v="Haas VF-SS-I Series Launch"/>
        <s v="Formlabs Form 4  Launch Event"/>
        <s v="MetalTech - Malaysia 2024"/>
        <s v="Phillips PCM 220 Compact Machining Center"/>
        <s v="Unlock Innovation with Formlabs Form 4!"/>
        <s v="Phillips Demo Day -Edition 3, Noida!"/>
        <s v="Phillips Additive Expert at IIT Delhi"/>
        <s v="Revolutionize Your Workflow with the Formlabs Form 4 3D Printer"/>
        <s v="Phillips Additive Team At Drone Expo 2024"/>
        <s v="AeroDef Symposium 2024 New"/>
        <s v="Phillips Additive at National Additive Manufacturing Symposium"/>
        <s v="AMRACE OPEN HOUSE POWERED BY PETECH!"/>
        <s v="India Skills Event"/>
        <s v="Desert Motors's Success With Haas Machines!"/>
        <s v="Phillips Additive EOS Partnership"/>
        <s v="See How Escon Enhances Productivity with Haas!"/>
        <s v="Meltio Webinar New"/>
        <s v="Phillips Additive in IIT Delhi!"/>
        <s v="TechSparks Bengaluru 2024"/>
        <s v="Automotive webinar (3rd Oct)"/>
        <s v="Nylon 12 White and Tough Launch"/>
        <s v="F4L launch (INDIA)"/>
        <s v="Fuse Blast Polishing System Launch"/>
        <s v="SLS Accuracy Campaign - ISO 2768-1 Tier 1"/>
        <s v="Webinar-F4L-Invite-23rd-oct"/>
        <s v="F4L launch (ANZ)"/>
        <s v="F4L launch- (SEA)"/>
        <s v="Webinar- SLS update + HiveIQ &amp; BR"/>
        <s v="Form 4 Reliability Study"/>
        <s v="Test Campaign - Scheduler"/>
        <s v="Adam Savage‚Äôs YT video"/>
        <s v="Webinar: Metal Fabrication- Jigs &amp; Fixtures"/>
        <s v="F4L launch- Internal (Japanese)"/>
        <s v="bulk powder / resin (Internal)"/>
        <s v="SamvAAd 2024"/>
        <s v="GHCI 2024 India"/>
        <s v="GreenPro Summit Social Champ Contest"/>
        <s v="CII Greenpro Summit 2024"/>
        <s v="BFSI &amp; Fintech Summit 2024"/>
        <s v="IGBC Conference - Live"/>
        <s v="Winner"/>
        <s v="Expo"/>
        <s v="Pre-event"/>
        <s v="GBC - Speakers"/>
        <s v="Exhibitor"/>
        <s v="ET GBS 2024"/>
        <s v="B2B World Summit"/>
        <s v="ElasticON Tour Bengaluru 2024"/>
        <s v="ElasticON Singapore"/>
        <s v="ElasticON Singapore - Spread The Word"/>
        <s v="Elastic ON Bengaluru"/>
        <s v="Accelerating tomorrow‚Äôs innovation today - Cito"/>
        <s v="Accelerating tomorrow‚Äôs innovation today - Dev IT"/>
        <s v="Accelerating tomorrow‚Äôs innovation today - Dynacons"/>
        <s v="Accelerating tomorrow‚Äôs innovation today - ArrowPC"/>
        <s v="Accelerating tomorrow‚Äôs innovation today"/>
        <s v="DefTech 2024"/>
        <s v="TVS Sustainability Ambassador Programme"/>
        <s v="TVS Motors- GIM2025"/>
        <s v="IIMA Chaos"/>
      </sharedItems>
    </cacheField>
    <cacheField name="Paid or not" numFmtId="0">
      <sharedItems>
        <s v="Paid"/>
        <s v="Trial"/>
        <s v="Free"/>
      </sharedItems>
    </cacheField>
    <cacheField name="potential reach" numFmtId="0">
      <sharedItems containsSemiMixedTypes="0" containsString="0" containsNumber="1" containsInteger="1">
        <n v="90247.0"/>
        <n v="916839.0"/>
        <n v="429645.0"/>
        <n v="623203.0"/>
        <n v="42431.0"/>
        <n v="966.0"/>
        <n v="83129.0"/>
        <n v="82580.0"/>
        <n v="52308.0"/>
        <n v="10538.0"/>
        <n v="41814.0"/>
        <n v="369041.0"/>
        <n v="150088.0"/>
        <n v="213340.0"/>
        <n v="182265.0"/>
        <n v="111280.0"/>
        <n v="147537.0"/>
        <n v="74325.0"/>
        <n v="60435.0"/>
        <n v="43310.0"/>
        <n v="36508.0"/>
        <n v="40433.0"/>
        <n v="42371.0"/>
        <n v="40739.0"/>
        <n v="43480.0"/>
        <n v="29826.0"/>
        <n v="20081.0"/>
        <n v="2241.0"/>
        <n v="4386.0"/>
        <n v="192882.0"/>
        <n v="65793.0"/>
        <n v="12279.0"/>
        <n v="52879.0"/>
        <n v="31971.0"/>
        <n v="230813.0"/>
        <n v="4785277.0"/>
        <n v="691286.0"/>
        <n v="483180.0"/>
        <n v="337976.0"/>
        <n v="381506.0"/>
        <n v="193844.0"/>
        <n v="244919.0"/>
        <n v="19372.0"/>
        <n v="2462.0"/>
        <n v="773072.0"/>
        <n v="768141.0"/>
        <n v="299074.0"/>
        <n v="241861.0"/>
        <n v="65368.0"/>
        <n v="51924.0"/>
        <n v="86416.0"/>
        <n v="0.0"/>
        <n v="176131.0"/>
        <n v="205216.0"/>
        <n v="77824.0"/>
        <n v="68462.0"/>
        <n v="42981.0"/>
        <n v="623931.0"/>
        <n v="174156.0"/>
        <n v="100498.0"/>
        <n v="111381.0"/>
        <n v="86383.0"/>
        <n v="153702.0"/>
        <n v="37835.0"/>
        <n v="109305.0"/>
        <n v="14447.0"/>
        <n v="54124.0"/>
        <n v="32917.0"/>
        <n v="131953.0"/>
        <n v="58976.0"/>
        <n v="30002.0"/>
        <n v="16792.0"/>
        <n v="44434.0"/>
        <n v="7239.0"/>
        <n v="22223.0"/>
        <n v="15327.0"/>
        <n v="9923.0"/>
        <n v="4497.0"/>
        <n v="8684.0"/>
        <n v="33332.0"/>
        <n v="84578.0"/>
        <n v="81445.0"/>
        <n v="44654.0"/>
        <n v="56246.0"/>
        <n v="57328.0"/>
        <n v="49859.0"/>
        <n v="24954.0"/>
        <n v="12186.0"/>
        <n v="12509.0"/>
        <n v="9994.0"/>
        <n v="61863.0"/>
        <n v="14888.0"/>
        <n v="5125.0"/>
        <n v="1903.0"/>
        <n v="491420.0"/>
        <n v="154044.0"/>
        <n v="92251.0"/>
        <n v="39252.0"/>
        <n v="32811.0"/>
        <n v="27391.0"/>
        <n v="43971.0"/>
        <n v="39991.0"/>
        <n v="15445.0"/>
        <n v="38436.0"/>
        <n v="35179.0"/>
        <n v="7732.0"/>
        <n v="37524.0"/>
        <n v="6968.0"/>
        <n v="10275.0"/>
        <n v="10849.0"/>
        <n v="3714.0"/>
        <n v="12820.0"/>
        <n v="9838.0"/>
        <n v="14259.0"/>
        <n v="10136.0"/>
        <n v="7423.0"/>
        <n v="295717.0"/>
        <n v="33011.0"/>
        <n v="26228.0"/>
        <n v="31184.0"/>
        <n v="31179.0"/>
        <n v="16458.0"/>
        <n v="23811.0"/>
        <n v="4638.0"/>
        <n v="5367.0"/>
        <n v="22011.0"/>
        <n v="9423.0"/>
        <n v="4483.0"/>
        <n v="13100.0"/>
        <n v="13044.0"/>
        <n v="800.0"/>
        <n v="7416.0"/>
        <n v="132243.0"/>
        <n v="292643.0"/>
        <n v="39511.0"/>
        <n v="29358.0"/>
        <n v="157836.0"/>
        <n v="222849.0"/>
        <n v="22060.0"/>
        <n v="130301.0"/>
        <n v="53680.0"/>
        <n v="902.0"/>
        <n v="441111.0"/>
        <n v="31244.0"/>
        <n v="322441.0"/>
        <n v="45321.0"/>
        <n v="1721.0"/>
        <n v="2130.0"/>
        <n v="23397.0"/>
        <n v="12834.0"/>
        <n v="2199.0"/>
        <n v="10033.0"/>
        <n v="2949.0"/>
        <n v="35676.0"/>
        <n v="16398.0"/>
        <n v="15763.0"/>
      </sharedItems>
    </cacheField>
    <cacheField name="total_share" numFmtId="0">
      <sharedItems containsSemiMixedTypes="0" containsString="0" containsNumber="1" containsInteger="1">
        <n v="81.0"/>
        <n v="824.0"/>
        <n v="412.0"/>
        <n v="392.0"/>
        <n v="117.0"/>
        <n v="2.0"/>
        <n v="79.0"/>
        <n v="30.0"/>
        <n v="16.0"/>
        <n v="10.0"/>
        <n v="124.0"/>
        <n v="275.0"/>
        <n v="146.0"/>
        <n v="128.0"/>
        <n v="74.0"/>
        <n v="62.0"/>
        <n v="53.0"/>
        <n v="44.0"/>
        <n v="27.0"/>
        <n v="21.0"/>
        <n v="14.0"/>
        <n v="12.0"/>
        <n v="11.0"/>
        <n v="5.0"/>
        <n v="4.0"/>
        <n v="3.0"/>
        <n v="312.0"/>
        <n v="36.0"/>
        <n v="7.0"/>
        <n v="125.0"/>
        <n v="19.0"/>
        <n v="131.0"/>
        <n v="2932.0"/>
        <n v="348.0"/>
        <n v="286.0"/>
        <n v="201.0"/>
        <n v="191.0"/>
        <n v="110.0"/>
        <n v="8.0"/>
        <n v="341.0"/>
        <n v="323.0"/>
        <n v="279.0"/>
        <n v="87.0"/>
        <n v="50.0"/>
        <n v="32.0"/>
        <n v="29.0"/>
        <n v="24.0"/>
        <n v="1196.0"/>
        <n v="434.0"/>
        <n v="85.0"/>
        <n v="67.0"/>
        <n v="39.0"/>
        <n v="1321.0"/>
        <n v="159.0"/>
        <n v="140.0"/>
        <n v="134.0"/>
        <n v="126.0"/>
        <n v="95.0"/>
        <n v="94.0"/>
        <n v="93.0"/>
        <n v="59.0"/>
        <n v="37.0"/>
        <n v="28.0"/>
        <n v="71.0"/>
        <n v="2106.0"/>
        <n v="60.0"/>
        <n v="26.0"/>
        <n v="23.0"/>
        <n v="17.0"/>
        <n v="13.0"/>
        <n v="9.0"/>
        <n v="484.0"/>
        <n v="234.0"/>
        <n v="89.0"/>
        <n v="20.0"/>
        <n v="15.0"/>
        <n v="6.0"/>
        <n v="88.0"/>
        <n v="384.0"/>
        <n v="331.0"/>
        <n v="101.0"/>
        <n v="25.0"/>
        <n v="42.0"/>
        <n v="755.0"/>
        <n v="143.0"/>
        <n v="78.0"/>
        <n v="197.0"/>
        <n v="456.0"/>
      </sharedItems>
    </cacheField>
    <cacheField name="Reach per Share" numFmtId="2">
      <sharedItems containsSemiMixedTypes="0" containsString="0" containsNumber="1">
        <n v="1114.1604938271605"/>
        <n v="1112.6686893203882"/>
        <n v="1042.8276699029127"/>
        <n v="1589.8035714285713"/>
        <n v="362.65811965811963"/>
        <n v="483.0"/>
        <n v="1052.26582278481"/>
        <n v="2752.6666666666665"/>
        <n v="3269.25"/>
        <n v="1053.8"/>
        <n v="337.2096774193548"/>
        <n v="1341.9672727272728"/>
        <n v="1028.0"/>
        <n v="1666.71875"/>
        <n v="2463.0405405405404"/>
        <n v="1794.8387096774193"/>
        <n v="2783.7169811320755"/>
        <n v="1689.2045454545455"/>
        <n v="2014.5"/>
        <n v="1604.0740740740741"/>
        <n v="1738.4761904761904"/>
        <n v="2888.0714285714284"/>
        <n v="3530.9166666666665"/>
        <n v="3703.5454545454545"/>
        <n v="3952.7272727272725"/>
        <n v="5965.2"/>
        <n v="5020.25"/>
        <n v="560.25"/>
        <n v="1462.0"/>
        <n v="618.2115384615385"/>
        <n v="1827.5833333333333"/>
        <n v="1754.142857142857"/>
        <n v="423.032"/>
        <n v="1682.6842105263158"/>
        <n v="1761.9312977099237"/>
        <n v="1632.0862892223738"/>
        <n v="1986.4540229885058"/>
        <n v="1689.4405594405594"/>
        <n v="1681.4726368159204"/>
        <n v="1997.413612565445"/>
        <n v="1479.7251908396947"/>
        <n v="2226.5363636363636"/>
        <n v="2421.5"/>
        <n v="615.5"/>
        <n v="2267.073313782991"/>
        <n v="2378.1455108359132"/>
        <n v="1071.9498207885304"/>
        <n v="2780.0114942528735"/>
        <n v="1307.36"/>
        <n v="1622.625"/>
        <n v="2700.5"/>
        <n v="0.0"/>
        <n v="147.26672240802677"/>
        <n v="472.8479262672811"/>
        <n v="915.5764705882353"/>
        <n v="1021.820895522388"/>
        <n v="1102.076923076923"/>
        <n v="472.31718395155184"/>
        <n v="1095.3207547169811"/>
        <n v="717.8428571428572"/>
        <n v="831.2014925373135"/>
        <n v="685.5793650793651"/>
        <n v="1617.9157894736843"/>
        <n v="402.5"/>
        <n v="1175.3225806451612"/>
        <n v="215.62686567164178"/>
        <n v="917.3559322033898"/>
        <n v="844.025641025641"/>
        <n v="3566.2972972972975"/>
        <n v="1965.8666666666666"/>
        <n v="1071.5"/>
        <n v="621.925925925926"/>
        <n v="2777.125"/>
        <n v="658.0909090909091"/>
        <n v="2777.875"/>
        <n v="1915.875"/>
        <n v="1984.6"/>
        <n v="1124.25"/>
        <n v="2894.6666666666665"/>
        <n v="469.46478873239437"/>
        <n v="40.160493827160494"/>
        <n v="1357.4166666666667"/>
        <n v="1594.7857142857142"/>
        <n v="2163.3076923076924"/>
        <n v="3372.235294117647"/>
        <n v="3116.1875"/>
        <n v="1559.625"/>
        <n v="870.4285714285714"/>
        <n v="962.2307692307693"/>
        <n v="1110.4444444444443"/>
        <n v="8837.57142857143"/>
        <n v="3722.0"/>
        <n v="1708.3333333333333"/>
        <n v="951.5"/>
        <n v="1015.3305785123966"/>
        <n v="658.3076923076923"/>
        <n v="1036.5280898876404"/>
        <n v="1962.6"/>
        <n v="1930.0588235294117"/>
        <n v="1611.235294117647"/>
        <n v="2931.4"/>
        <n v="3635.5454545454545"/>
        <n v="1544.5"/>
        <n v="4804.5"/>
        <n v="4397.375"/>
        <n v="1288.6666666666667"/>
        <n v="6254.0"/>
        <n v="1393.6"/>
        <n v="2055.0"/>
        <n v="2169.8"/>
        <n v="928.5"/>
        <n v="3205.0"/>
        <n v="2459.5"/>
        <n v="3564.75"/>
        <n v="3378.6666666666665"/>
        <n v="3711.5"/>
        <n v="3360.4204545454545"/>
        <n v="1650.55"/>
        <n v="1873.4285714285713"/>
        <n v="2598.6666666666665"/>
        <n v="3117.9"/>
        <n v="1645.8"/>
        <n v="2645.6666666666665"/>
        <n v="927.6"/>
        <n v="1073.4"/>
        <n v="4402.2"/>
        <n v="2355.75"/>
        <n v="1494.3333333333333"/>
        <n v="4366.666666666667"/>
        <n v="4348.0"/>
        <n v="400.0"/>
        <n v="3708.0"/>
        <n v="344.3828125"/>
        <n v="884.1178247734139"/>
        <n v="391.1980198019802"/>
        <n v="1174.32"/>
        <n v="3758.0"/>
        <n v="295.164238410596"/>
        <n v="154.26573426573427"/>
        <n v="1670.525641025641"/>
        <n v="1278.095238095238"/>
        <n v="300.6666666666667"/>
        <n v="2239.1421319796955"/>
        <n v="2840.3636363636365"/>
        <n v="707.1074561403509"/>
        <n v="768.1525423728814"/>
        <n v="286.8333333333333"/>
        <n v="1065.0"/>
        <n v="1169.85"/>
        <n v="1166.7272727272727"/>
        <n v="274.875"/>
        <n v="1254.125"/>
        <n v="589.8"/>
        <n v="1698.857142857143"/>
        <n v="1639.8"/>
        <n v="2251.8571428571427"/>
      </sharedItems>
    </cacheField>
    <cacheField name="total_clicks" numFmtId="0">
      <sharedItems containsSemiMixedTypes="0" containsString="0" containsNumber="1" containsInteger="1">
        <n v="150.0"/>
        <n v="4225.0"/>
        <n v="0.0"/>
        <n v="88.0"/>
        <n v="44.0"/>
        <n v="26.0"/>
        <n v="133.0"/>
        <n v="3559.0"/>
        <n v="372.0"/>
        <n v="286.0"/>
        <n v="404.0"/>
        <n v="27.0"/>
        <n v="159.0"/>
        <n v="194.0"/>
        <n v="293.0"/>
        <n v="55.0"/>
        <n v="22.0"/>
        <n v="457.0"/>
        <n v="101.0"/>
        <n v="5.0"/>
        <n v="12.0"/>
        <n v="4.0"/>
        <n v="8.0"/>
        <n v="135.0"/>
        <n v="3.0"/>
        <n v="74.0"/>
        <n v="90.0"/>
        <n v="12107.0"/>
        <n v="951.0"/>
        <n v="928.0"/>
        <n v="1129.0"/>
        <n v="898.0"/>
        <n v="339.0"/>
        <n v="769.0"/>
        <n v="35.0"/>
        <n v="2.0"/>
        <n v="1963.0"/>
        <n v="1155.0"/>
        <n v="786.0"/>
        <n v="748.0"/>
        <n v="25.0"/>
        <n v="241.0"/>
        <n v="517.0"/>
        <n v="1185.0"/>
        <n v="201.0"/>
        <n v="249.0"/>
        <n v="117.0"/>
        <n v="1508.0"/>
        <n v="181.0"/>
        <n v="178.0"/>
        <n v="277.0"/>
        <n v="7.0"/>
        <n v="41.0"/>
        <n v="11.0"/>
        <n v="71.0"/>
        <n v="89.0"/>
        <n v="20.0"/>
        <n v="92.0"/>
        <n v="13.0"/>
        <n v="21.0"/>
        <n v="1.0"/>
        <n v="58.0"/>
        <n v="100.0"/>
        <n v="64.0"/>
        <n v="84.0"/>
        <n v="15.0"/>
        <n v="24.0"/>
        <n v="118.0"/>
        <n v="14.0"/>
        <n v="611.0"/>
        <n v="49.0"/>
        <n v="40.0"/>
        <n v="51.0"/>
        <n v="31.0"/>
        <n v="23.0"/>
        <n v="16.0"/>
        <n v="33.0"/>
        <n v="43.0"/>
        <n v="9.0"/>
        <n v="441.0"/>
        <n v="229.0"/>
        <n v="434.0"/>
        <n v="6.0"/>
      </sharedItems>
    </cacheField>
    <cacheField name="Clicks per Share" numFmtId="2">
      <sharedItems containsSemiMixedTypes="0" containsString="0" containsNumber="1">
        <n v="1.8518518518518519"/>
        <n v="5.127427184466019"/>
        <n v="0.0"/>
        <n v="1.1139240506329113"/>
        <n v="1.4666666666666666"/>
        <n v="1.625"/>
        <n v="1.0725806451612903"/>
        <n v="12.941818181818181"/>
        <n v="2.547945205479452"/>
        <n v="2.234375"/>
        <n v="5.45945945945946"/>
        <n v="0.43548387096774194"/>
        <n v="3.0"/>
        <n v="4.409090909090909"/>
        <n v="10.851851851851851"/>
        <n v="2.619047619047619"/>
        <n v="1.5714285714285714"/>
        <n v="41.54545454545455"/>
        <n v="9.181818181818182"/>
        <n v="1.0"/>
        <n v="2.6666666666666665"/>
        <n v="3.75"/>
        <n v="0.42857142857142855"/>
        <n v="3.8947368421052633"/>
        <n v="0.6870229007633588"/>
        <n v="4.129263301500682"/>
        <n v="2.7327586206896552"/>
        <n v="3.2447552447552446"/>
        <n v="5.616915422885572"/>
        <n v="4.701570680628272"/>
        <n v="2.5877862595419847"/>
        <n v="6.990909090909091"/>
        <n v="4.375"/>
        <n v="0.5"/>
        <n v="5.756598240469208"/>
        <n v="3.5758513931888545"/>
        <n v="2.817204301075269"/>
        <n v="8.597701149425287"/>
        <n v="7.53125"/>
        <n v="0.4322742474916388"/>
        <n v="2.730414746543779"/>
        <n v="2.364705882352941"/>
        <n v="3.716417910447761"/>
        <n v="1.141559424678274"/>
        <n v="1.292857142857143"/>
        <n v="1.328358208955224"/>
        <n v="2.978494623655914"/>
        <n v="0.1044776119402985"/>
        <n v="0.6949152542372882"/>
        <n v="0.28205128205128205"/>
        <n v="1.9189189189189189"/>
        <n v="2.966666666666667"/>
        <n v="0.7142857142857143"/>
        <n v="3.4074074074074074"/>
        <n v="1.1818181818181819"/>
        <n v="2.625"/>
        <n v="1.375"/>
        <n v="1.4"/>
        <n v="0.027540360873694207"/>
        <n v="1.6666666666666667"/>
        <n v="1.4642857142857142"/>
        <n v="0.7857142857142857"/>
        <n v="0.3333333333333333"/>
        <n v="9.142857142857142"/>
        <n v="0.9438202247191011"/>
        <n v="0.75"/>
        <n v="1.411764705882353"/>
        <n v="1.4705882352941178"/>
        <n v="7.866666666666666"/>
        <n v="0.6363636363636364"/>
        <n v="0.25"/>
        <n v="1.8333333333333333"/>
        <n v="5.4"/>
        <n v="2.75"/>
        <n v="3.25"/>
        <n v="5.0"/>
        <n v="5.5"/>
        <n v="6.943181818181818"/>
        <n v="2.45"/>
        <n v="2.857142857142857"/>
        <n v="4.25"/>
        <n v="2.0"/>
        <n v="3.1"/>
        <n v="2.5555555555555554"/>
        <n v="3.2"/>
        <n v="4.4"/>
        <n v="8.25"/>
        <n v="14.333333333333334"/>
        <n v="1.5"/>
        <n v="0.005208333333333333"/>
        <n v="2.32"/>
        <n v="10.5"/>
        <n v="0.003973509933774834"/>
        <n v="5.4523809523809526"/>
        <n v="1.3333333333333333"/>
        <n v="1.8181818181818181"/>
        <n v="0.9517543859649122"/>
        <n v="0.1016949152542373"/>
        <n v="0.16666666666666666"/>
        <n v="15.5"/>
      </sharedItems>
    </cacheField>
    <cacheField name="total_comments" numFmtId="0">
      <sharedItems containsSemiMixedTypes="0" containsString="0" containsNumber="1" containsInteger="1">
        <n v="6.0"/>
        <n v="263.0"/>
        <n v="200.0"/>
        <n v="236.0"/>
        <n v="32.0"/>
        <n v="0.0"/>
        <n v="37.0"/>
        <n v="12.0"/>
        <n v="19.0"/>
        <n v="4.0"/>
        <n v="20.0"/>
        <n v="1074.0"/>
        <n v="22.0"/>
        <n v="107.0"/>
        <n v="331.0"/>
        <n v="513.0"/>
        <n v="31.0"/>
        <n v="196.0"/>
        <n v="35.0"/>
        <n v="206.0"/>
        <n v="14.0"/>
        <n v="1.0"/>
        <n v="5.0"/>
        <n v="3.0"/>
        <n v="11.0"/>
        <n v="68.0"/>
        <n v="13.0"/>
        <n v="17.0"/>
        <n v="4003.0"/>
        <n v="30.0"/>
        <n v="50.0"/>
        <n v="376.0"/>
        <n v="25.0"/>
        <n v="34.0"/>
        <n v="2.0"/>
        <n v="49.0"/>
        <n v="18.0"/>
        <n v="15.0"/>
        <n v="16.0"/>
        <n v="38.0"/>
        <n v="41.0"/>
        <n v="195.0"/>
        <n v="7.0"/>
        <n v="1565.0"/>
        <n v="21.0"/>
        <n v="69.0"/>
        <n v="28.0"/>
        <n v="167.0"/>
        <n v="10.0"/>
        <n v="193.0"/>
        <n v="83.0"/>
        <n v="8.0"/>
        <n v="9.0"/>
        <n v="43.0"/>
        <n v="181.0"/>
        <n v="73.0"/>
        <n v="95.0"/>
      </sharedItems>
    </cacheField>
    <cacheField name="Comments Per Share" numFmtId="2">
      <sharedItems containsSemiMixedTypes="0" containsString="0" containsNumber="1">
        <n v="0.0053852205613483"/>
        <n v="0.2363686536022137"/>
        <n v="0.19178624213013068"/>
        <n v="0.14844601197362658"/>
        <n v="0.08823737361834509"/>
        <n v="0.0"/>
        <n v="0.035162217757942475"/>
        <n v="0.004359409057883265"/>
        <n v="0.00581173051923224"/>
        <n v="0.0037957866767887646"/>
        <n v="0.05931027885397236"/>
        <n v="0.8003175798894974"/>
        <n v="0.021400778210116732"/>
        <n v="0.06419799381269335"/>
        <n v="0.13438674457520644"/>
        <n v="0.2858195542774982"/>
        <n v="0.011136189566007171"/>
        <n v="0.1160309451732257"/>
        <n v="0.01737403822288409"/>
        <n v="0.12842299699838375"/>
        <n v="0.00484752553607202"/>
        <n v="2.8321257463831395E-4"/>
        <n v="2.700115368565748E-4"/>
        <n v="0.0012649494020239192"/>
        <n v="5.029169181251258E-4"/>
        <n v="0.00219112593994323"/>
        <n v="0.10999471179270227"/>
        <n v="0.006018877388171994"/>
        <n v="0.030730535751432517"/>
        <n v="5.942885740202058E-4"/>
        <n v="0.009648503333867676"/>
        <n v="2.4526889456973966"/>
        <n v="0.01510228762046389"/>
        <n v="0.029595595844198852"/>
        <n v="0.01784150353871281"/>
        <n v="0.18824343522775527"/>
        <n v="0.016895028992385628"/>
        <n v="0.015270354688692997"/>
        <n v="8.259343382201115E-4"/>
        <n v="0.021613769480721072"/>
        <n v="0.007568922893062602"/>
        <n v="0.023321987200492188"/>
        <n v="0.005395661144210931"/>
        <n v="0.012238404112103782"/>
        <n v="0.023418842924273937"/>
        <n v="0.0018515089798185522"/>
        <n v="0.2784064134082018"/>
        <n v="0.412394745049119"/>
        <n v="0.007645456414473684"/>
        <n v="0.005871870526715551"/>
        <n v="0.0018147553570182172"/>
        <n v="3.3134513271499575"/>
        <n v="0.019172466064907325"/>
        <n v="0.002786125097016856"/>
        <n v="0.08301236297034503"/>
        <n v="0.04084136925089427"/>
        <n v="0.018542374204629737"/>
        <n v="0.012762453684643887"/>
        <n v="0.02782584619644217"/>
        <n v="0.005450447121424877"/>
        <n v="0.01895677005802473"/>
        <n v="0.0030844315779103163"/>
        <n v="0.003560770482908302"/>
        <n v="0.004823725583611243"/>
        <n v="0.060134131520907415"/>
        <n v="0.0045586406962287605"/>
        <n v="0.003454629203132197"/>
        <n v="4.805717798954811"/>
        <n v="0.007366934741236417"/>
        <n v="0.003135217449724549"/>
        <n v="2.965392129500419E-4"/>
        <n v="0.00192542971178724"/>
        <n v="0.005129438166225855"/>
        <n v="0.0022977186935828"/>
        <n v="0.010392517387481013"/>
        <n v="0.0018010806483890335"/>
        <n v="1.13153258005593E-4"/>
        <n v="0.0046829268292682925"/>
        <n v="0.009849008994342925"/>
        <n v="0.006753314327215966"/>
        <n v="0.001528584530724549"/>
        <n v="5.181189235317424E-4"/>
        <n v="0.0037238508999306343"/>
        <n v="0.0027290714334447705"/>
        <n v="2.7506188892500815E-4"/>
        <n v="0.0012949174490126255"/>
        <n v="2.2740839705506126E-4"/>
        <n v="4.7969299648225136E-4"/>
        <n v="9.217439395335974E-4"/>
        <n v="6.240249609984399E-4"/>
        <n v="8.131734092295182E-4"/>
        <n v="8.415737428992215E-4"/>
        <n v="2.9597474348855567E-4"/>
        <n v="0.012796017814329241"/>
        <n v="0.002423434612704856"/>
        <n v="0.001067561384779625"/>
        <n v="0.002308876346844536"/>
        <n v="0.002430428970713331"/>
        <n v="7.559531309058839E-4"/>
        <n v="0.0021561017680034496"/>
        <n v="0.003726476616359232"/>
        <n v="9.086365907955114E-4"/>
        <n v="0.0021224663058473947"/>
        <n v="0.0011450381679389311"/>
        <n v="2.2999080036798528E-4"/>
        <n v="5.393743257820927E-4"/>
        <n v="0.09001610671264264"/>
        <n v="0.2047238444111084"/>
        <n v="0.1866062615474172"/>
        <n v="0.015328019619865114"/>
        <n v="0.004789781798829164"/>
        <n v="0.321854708793847"/>
        <n v="0.47320942883046235"/>
        <n v="0.006584753762442345"/>
        <n v="0.01643070044709389"/>
        <n v="0.015184386696319066"/>
        <n v="0.33375408214215935"/>
        <n v="0.009112773328037775"/>
        <n v="0.002571294997662459"/>
        <n v="0.018190086402910415"/>
        <n v="0.0015947373666899232"/>
        <n v="0.024133871510258996"/>
        <n v="6.098304671301379E-4"/>
        <n v="4.4407790395229336E-4"/>
      </sharedItems>
    </cacheField>
    <cacheField name="total_likes" numFmtId="0">
      <sharedItems containsSemiMixedTypes="0" containsString="0" containsNumber="1" containsInteger="1">
        <n v="623.0"/>
        <n v="18752.0"/>
        <n v="10454.0"/>
        <n v="9730.0"/>
        <n v="1500.0"/>
        <n v="0.0"/>
        <n v="335.0"/>
        <n v="72.0"/>
        <n v="69.0"/>
        <n v="54.0"/>
        <n v="1357.0"/>
        <n v="5584.0"/>
        <n v="411.0"/>
        <n v="1342.0"/>
        <n v="2271.0"/>
        <n v="2113.0"/>
        <n v="815.0"/>
        <n v="1041.0"/>
        <n v="179.0"/>
        <n v="858.0"/>
        <n v="6.0"/>
        <n v="141.0"/>
        <n v="24.0"/>
        <n v="108.0"/>
        <n v="61.0"/>
        <n v="19.0"/>
        <n v="140.0"/>
        <n v="22.0"/>
        <n v="14.0"/>
        <n v="4037.0"/>
        <n v="521.0"/>
        <n v="259.0"/>
        <n v="810.0"/>
        <n v="55.0"/>
        <n v="1691.0"/>
        <n v="20196.0"/>
        <n v="1961.0"/>
        <n v="2420.0"/>
        <n v="2084.0"/>
        <n v="1402.0"/>
        <n v="522.0"/>
        <n v="783.0"/>
        <n v="64.0"/>
        <n v="3389.0"/>
        <n v="1152.0"/>
        <n v="3379.0"/>
        <n v="1200.0"/>
        <n v="709.0"/>
        <n v="1040.0"/>
        <n v="329.0"/>
        <n v="139.0"/>
        <n v="232.0"/>
        <n v="3863.0"/>
        <n v="2823.0"/>
        <n v="405.0"/>
        <n v="249.0"/>
        <n v="14400.0"/>
        <n v="742.0"/>
        <n v="91.0"/>
        <n v="526.0"/>
        <n v="601.0"/>
        <n v="2816.0"/>
        <n v="187.0"/>
        <n v="1261.0"/>
        <n v="274.0"/>
        <n v="275.0"/>
        <n v="53.0"/>
        <n v="270.0"/>
        <n v="44.0"/>
        <n v="172.0"/>
        <n v="999.0"/>
        <n v="21.0"/>
        <n v="47.0"/>
        <n v="66.0"/>
        <n v="78.0"/>
        <n v="98.0"/>
        <n v="402.0"/>
        <n v="4143.0"/>
        <n v="636.0"/>
        <n v="41.0"/>
        <n v="173.0"/>
        <n v="97.0"/>
        <n v="45.0"/>
        <n v="251.0"/>
        <n v="71.0"/>
        <n v="167.0"/>
        <n v="28.0"/>
        <n v="5.0"/>
        <n v="36.0"/>
        <n v="809.0"/>
        <n v="230.0"/>
        <n v="1090.0"/>
        <n v="161.0"/>
        <n v="217.0"/>
        <n v="320.0"/>
        <n v="65.0"/>
        <n v="199.0"/>
        <n v="80.0"/>
        <n v="81.0"/>
        <n v="57.0"/>
        <n v="137.0"/>
        <n v="4.0"/>
        <n v="89.0"/>
        <n v="145.0"/>
        <n v="42.0"/>
        <n v="88.0"/>
        <n v="225.0"/>
        <n v="68.0"/>
        <n v="1623.0"/>
        <n v="223.0"/>
        <n v="245.0"/>
        <n v="314.0"/>
        <n v="271.0"/>
        <n v="186.0"/>
        <n v="152.0"/>
        <n v="79.0"/>
        <n v="93.0"/>
        <n v="109.0"/>
        <n v="70.0"/>
        <n v="160.0"/>
        <n v="32.0"/>
        <n v="2250.0"/>
        <n v="4431.0"/>
        <n v="2131.0"/>
        <n v="437.0"/>
        <n v="938.0"/>
        <n v="5780.0"/>
        <n v="419.0"/>
        <n v="594.0"/>
        <n v="612.0"/>
        <n v="3614.0"/>
        <n v="62.0"/>
        <n v="8494.0"/>
        <n v="687.0"/>
        <n v="136.0"/>
        <n v="84.0"/>
        <n v="518.0"/>
        <n v="237.0"/>
        <n v="16.0"/>
      </sharedItems>
    </cacheField>
    <cacheField name="Likes Per Share" numFmtId="2">
      <sharedItems containsSemiMixedTypes="0" containsString="0" containsNumber="1">
        <n v="0.5591654016199984"/>
        <n v="16.853174875850616"/>
        <n v="10.02466687614193"/>
        <n v="6.120252951285536"/>
        <n v="4.136126888359926"/>
        <n v="0.0"/>
        <n v="0.3183606202408305"/>
        <n v="0.02615645434729959"/>
        <n v="0.021105758201422343"/>
        <n v="0.05124312013664832"/>
        <n v="4.024202420242024"/>
        <n v="4.161055275701074"/>
        <n v="0.39980544747081714"/>
        <n v="0.8051748382863035"/>
        <n v="0.9220311085507367"/>
        <n v="1.1772645578720347"/>
        <n v="0.2927740160095434"/>
        <n v="0.6162663975782038"/>
        <n v="0.08885579548275006"/>
        <n v="0.5348880166243362"/>
        <n v="0.0034512983455680948"/>
        <n v="0.04882150718472535"/>
        <n v="0.006797101791319535"/>
        <n v="0.029161245980510078"/>
        <n v="0.015432382704691813"/>
        <n v="0.00318514048145913"/>
        <n v="0.02788705741745929"/>
        <n v="0.0392681838464971"/>
        <n v="0.009575923392612859"/>
        <n v="6.530127228046163"/>
        <n v="0.2850759199306917"/>
        <n v="0.14765046013519018"/>
        <n v="1.9147487660507954"/>
        <n v="0.032685871571111316"/>
        <n v="0.9597423022100141"/>
        <n v="12.374345727530507"/>
        <n v="0.9871862007909895"/>
        <n v="1.4324268388592243"/>
        <n v="1.2393897791559163"/>
        <n v="0.7019077026311513"/>
        <n v="0.35276820536101194"/>
        <n v="0.35166728591901814"/>
        <n v="0.026429898823043568"/>
        <n v="1.494878872860484"/>
        <n v="0.4844110651560065"/>
        <n v="3.1521997900185244"/>
        <n v="0.4316528915368745"/>
        <n v="0.5423142822175989"/>
        <n v="0.640936753716971"/>
        <n v="0.12182929087206074"/>
        <n v="26.231316463314236"/>
        <n v="5.970207001403399"/>
        <n v="0.44234426398026316"/>
        <n v="0.3278461044082849"/>
        <n v="0.22593704194876807"/>
        <n v="30.487986652370214"/>
        <n v="0.6774271342933922"/>
        <n v="0.12676869191426696"/>
        <n v="0.6328188829333549"/>
        <n v="0.8766308185638378"/>
        <n v="1.7405108586745779"/>
        <n v="0.4645962732919255"/>
        <n v="1.0728969397557295"/>
        <n v="1.270713642970859"/>
        <n v="0.29977459167836823"/>
        <n v="0.06279430081720691"/>
        <n v="0.07570877509416231"/>
        <n v="0.13734400434074878"/>
        <n v="0.04106392907139524"/>
        <n v="0.27656026679371126"/>
        <n v="0.35972453526578746"/>
        <n v="0.031910484873601326"/>
        <n v="0.016919407820726276"/>
        <n v="0.03444901154824819"/>
        <n v="0.039302630252947696"/>
        <n v="0.016900155659328443"/>
        <n v="0.033855366190695534"/>
        <n v="0.8562942517700708"/>
        <n v="103.16108207808178"/>
        <n v="0.4685370495426361"/>
        <n v="0.16240426389573162"/>
        <n v="0.018952458841517618"/>
        <n v="0.028764303656154063"/>
        <n v="0.0144407228384043"/>
        <n v="0.16093612246533623"/>
        <n v="0.08156901362218939"/>
        <n v="0.17355504037093292"/>
        <n v="0.039623774264558737"/>
        <n v="0.003168291224156604"/>
        <n v="0.02751219512195122"/>
        <n v="0.7967848276423426"/>
        <n v="0.34938069642439823"/>
        <n v="1.051587516666486"/>
        <n v="0.07082441659023744"/>
        <n v="0.08341714668861053"/>
        <n v="0.13467927421415793"/>
        <n v="0.10916285733779081"/>
        <n v="0.017879022780125528"/>
        <n v="0.12884428617675622"/>
        <n v="0.01665105630138412"/>
        <n v="0.018420080161459962"/>
        <n v="0.044231764097258146"/>
        <n v="0.02190598017268948"/>
        <n v="0.0028702640642939152"/>
        <n v="0.04330900243309002"/>
        <n v="0.06682643561618581"/>
        <n v="0.045234248788368334"/>
        <n v="0.027457098283931357"/>
        <n v="0.0914820085383208"/>
        <n v="0.019075671505715687"/>
        <n v="0.018054459352801894"/>
        <n v="0.012124477973865014"/>
        <n v="0.48297527703851995"/>
        <n v="0.13510647965829573"/>
        <n v="0.13077626963550404"/>
        <n v="0.12083119548486404"/>
        <n v="0.08691747650662304"/>
        <n v="0.1130149471381699"/>
        <n v="0.057452437948847176"/>
        <n v="0.08516601983613627"/>
        <n v="0.08664058133035214"/>
        <n v="0.024760347099177685"/>
        <n v="0.029714528281863526"/>
        <n v="0.036641221374045796"/>
        <n v="0.009429622815087397"/>
        <n v="0.08"/>
        <n v="0.011057173678532902"/>
        <n v="6.533427100111159"/>
        <n v="5.011775439699566"/>
        <n v="5.447369087089672"/>
        <n v="0.37213025410450307"/>
        <n v="0.24960085151676423"/>
        <n v="19.58231807187827"/>
        <n v="2.7160924750679962"/>
        <n v="0.3555767031718866"/>
        <n v="0.4788375558867362"/>
        <n v="0.019955654101995565"/>
        <n v="1.6140109858969738"/>
        <n v="0.02182819101267443"/>
        <n v="12.012318532692802"/>
        <n v="0.8943536109088501"/>
        <n v="0.017431725740848347"/>
        <n v="0.020657276995305163"/>
        <n v="0.11625422062657606"/>
        <n v="0.11656537322736481"/>
        <n v="0.06912232833105958"/>
        <n v="0.06697896940097678"/>
        <n v="0.0084774499830451"/>
        <n v="0.30491086444668686"/>
        <n v="0.14452982070984266"/>
        <n v="0.007105246463236694"/>
      </sharedItems>
    </cacheField>
    <cacheField name="total_posts" numFmtId="0">
      <sharedItems containsSemiMixedTypes="0" containsString="0" containsNumber="1" containsInteger="1">
        <n v="8.0"/>
        <n v="5.0"/>
        <n v="9.0"/>
        <n v="1.0"/>
        <n v="2.0"/>
        <n v="6.0"/>
        <n v="3.0"/>
        <n v="4.0"/>
        <n v="23.0"/>
        <n v="10.0"/>
        <n v="185.0"/>
        <n v="22.0"/>
        <n v="40.0"/>
        <n v="7.0"/>
        <n v="18.0"/>
        <n v="20.0"/>
        <n v="13.0"/>
        <n v="15.0"/>
        <n v="14.0"/>
        <n v="17.0"/>
        <n v="57.0"/>
        <n v="27.0"/>
        <n v="24.0"/>
      </sharedItems>
    </cacheField>
    <cacheField name="Reshare" numFmtId="0">
      <sharedItems containsSemiMixedTypes="0" containsString="0" containsNumber="1" containsInteger="1">
        <n v="162.0"/>
        <n v="1648.0"/>
        <n v="824.0"/>
        <n v="784.0"/>
        <n v="234.0"/>
        <n v="4.0"/>
        <n v="158.0"/>
        <n v="60.0"/>
        <n v="32.0"/>
        <n v="20.0"/>
        <n v="248.0"/>
        <n v="550.0"/>
        <n v="292.0"/>
        <n v="256.0"/>
        <n v="148.0"/>
        <n v="124.0"/>
        <n v="106.0"/>
        <n v="88.0"/>
        <n v="54.0"/>
        <n v="42.0"/>
        <n v="28.0"/>
        <n v="24.0"/>
        <n v="22.0"/>
        <n v="10.0"/>
        <n v="8.0"/>
        <n v="6.0"/>
        <n v="624.0"/>
        <n v="72.0"/>
        <n v="14.0"/>
        <n v="250.0"/>
        <n v="38.0"/>
        <n v="262.0"/>
        <n v="5864.0"/>
        <n v="696.0"/>
        <n v="572.0"/>
        <n v="402.0"/>
        <n v="382.0"/>
        <n v="220.0"/>
        <n v="16.0"/>
        <n v="682.0"/>
        <n v="646.0"/>
        <n v="558.0"/>
        <n v="174.0"/>
        <n v="100.0"/>
        <n v="64.0"/>
        <n v="58.0"/>
        <n v="48.0"/>
        <n v="2392.0"/>
        <n v="868.0"/>
        <n v="170.0"/>
        <n v="134.0"/>
        <n v="78.0"/>
        <n v="2642.0"/>
        <n v="318.0"/>
        <n v="280.0"/>
        <n v="268.0"/>
        <n v="252.0"/>
        <n v="190.0"/>
        <n v="188.0"/>
        <n v="186.0"/>
        <n v="118.0"/>
        <n v="74.0"/>
        <n v="56.0"/>
        <n v="142.0"/>
        <n v="4212.0"/>
        <n v="120.0"/>
        <n v="52.0"/>
        <n v="46.0"/>
        <n v="34.0"/>
        <n v="26.0"/>
        <n v="18.0"/>
        <n v="968.0"/>
        <n v="468.0"/>
        <n v="178.0"/>
        <n v="40.0"/>
        <n v="30.0"/>
        <n v="12.0"/>
        <n v="176.0"/>
        <n v="768.0"/>
        <n v="662.0"/>
        <n v="202.0"/>
        <n v="50.0"/>
        <n v="84.0"/>
        <n v="1510.0"/>
        <n v="286.0"/>
        <n v="156.0"/>
        <n v="394.0"/>
        <n v="912.0"/>
      </sharedItems>
    </cacheField>
    <cacheField name="Registrations" numFmtId="0">
      <sharedItems containsSemiMixedTypes="0" containsString="0" containsNumber="1">
        <n v="39.0"/>
        <n v="1098.5"/>
        <n v="0.0"/>
        <n v="22.880000000000003"/>
        <n v="11.440000000000001"/>
        <n v="6.76"/>
        <n v="34.58"/>
        <n v="925.34"/>
        <n v="96.72"/>
        <n v="74.36"/>
        <n v="105.04"/>
        <n v="7.0200000000000005"/>
        <n v="41.34"/>
        <n v="50.440000000000005"/>
        <n v="76.18"/>
        <n v="14.3"/>
        <n v="5.720000000000001"/>
        <n v="118.82000000000001"/>
        <n v="26.26"/>
        <n v="1.3"/>
        <n v="3.12"/>
        <n v="1.04"/>
        <n v="2.08"/>
        <n v="35.1"/>
        <n v="0.78"/>
        <n v="19.240000000000002"/>
        <n v="23.400000000000002"/>
        <n v="3147.82"/>
        <n v="247.26000000000002"/>
        <n v="241.28"/>
        <n v="293.54"/>
        <n v="233.48000000000002"/>
        <n v="88.14"/>
        <n v="199.94"/>
        <n v="9.1"/>
        <n v="0.52"/>
        <n v="510.38"/>
        <n v="300.3"/>
        <n v="204.36"/>
        <n v="194.48000000000002"/>
        <n v="6.5"/>
        <n v="62.660000000000004"/>
        <n v="134.42000000000002"/>
        <n v="308.1"/>
        <n v="52.260000000000005"/>
        <n v="64.74000000000001"/>
        <n v="30.42"/>
        <n v="392.08000000000004"/>
        <n v="47.06"/>
        <n v="46.28"/>
        <n v="72.02"/>
        <n v="1.82"/>
        <n v="10.66"/>
        <n v="2.8600000000000003"/>
        <n v="18.46"/>
        <n v="23.14"/>
        <n v="5.2"/>
        <n v="23.92"/>
        <n v="3.38"/>
        <n v="5.46"/>
        <n v="0.26"/>
        <n v="15.08"/>
        <n v="26.0"/>
        <n v="16.64"/>
        <n v="21.84"/>
        <n v="3.9000000000000004"/>
        <n v="6.24"/>
        <n v="30.68"/>
        <n v="3.64"/>
        <n v="158.86"/>
        <n v="12.74"/>
        <n v="10.4"/>
        <n v="13.26"/>
        <n v="8.06"/>
        <n v="5.98"/>
        <n v="4.16"/>
        <n v="8.58"/>
        <n v="11.18"/>
        <n v="2.34"/>
        <n v="114.66000000000001"/>
        <n v="59.54"/>
        <n v="112.84"/>
        <n v="1.56"/>
      </sharedItems>
    </cacheField>
    <cacheField name="EMV" numFmtId="164">
      <sharedItems containsSemiMixedTypes="0" containsString="0" containsNumber="1">
        <n v="73715.70676102806"/>
        <n v="1859114.25593268"/>
        <n v="329412.4018121065"/>
        <n v="321407.6098005987"/>
        <n v="51856.349368680916"/>
        <n v="260.375"/>
        <n v="47520.320610887895"/>
        <n v="22985.467970452893"/>
        <n v="14290.540586525962"/>
        <n v="3008.8147893338396"/>
        <n v="88309.3405139427"/>
        <n v="1243669.0783789945"/>
        <n v="144368.5700389105"/>
        <n v="144342.95989969064"/>
        <n v="195157.28183722874"/>
        <n v="73986.29097771387"/>
        <n v="81960.6193094783"/>
        <n v="92500.11404725866"/>
        <n v="11253.056201911144"/>
        <n v="113591.29614984992"/>
        <n v="20811.75"/>
        <n v="13964.304876276803"/>
        <n v="4448.2016606287325"/>
        <n v="141618.20100057684"/>
        <n v="35238.5632474701"/>
        <n v="4319.150145845906"/>
        <n v="8707.172056296997"/>
        <n v="2274.0625"/>
        <n v="3292.125"/>
        <n v="144185.62473558963"/>
        <n v="60697.363443869406"/>
        <n v="8830.4375"/>
        <n v="36056.474026787575"/>
        <n v="27177.2172144287"/>
        <n v="96441.2949251667"/>
        <n v="4680974.446947285"/>
        <n v="408527.130114381"/>
        <n v="393988.2297797922"/>
        <n v="427508.39207517693"/>
        <n v="343811.5371717614"/>
        <n v="138610.09475144962"/>
        <n v="273507.2010177345"/>
        <n v="13970.79129671691"/>
        <n v="1145.875"/>
        <n v="748191.080688474"/>
        <n v="450989.19094614463"/>
        <n v="363724.29109936004"/>
        <n v="275224.5822830572"/>
        <n v="34211.11192020561"/>
        <n v="32446.420942146215"/>
        <n v="88162.09257544899"/>
        <n v="6375.0"/>
        <n v="8200.0"/>
        <n v="380229.1078206704"/>
        <n v="477581.6197372525"/>
        <n v="82985.38227282072"/>
        <n v="93058.16859352634"/>
        <n v="47443.40323776785"/>
        <n v="977629.3600663575"/>
        <n v="45335.708623303246"/>
        <n v="76132.26430625486"/>
        <n v="86203.46311814852"/>
        <n v="33025.97956846254"/>
        <n v="89507.30211871023"/>
        <n v="16439.6875"/>
        <n v="129649.20062268423"/>
        <n v="16526.32879230982"/>
        <n v="28294.02252235607"/>
        <n v="10539.260338502902"/>
        <n v="39713.216721578894"/>
        <n v="39780.17803852414"/>
        <n v="11695.125"/>
        <n v="35281.74118627918"/>
        <n v="29355.131706576045"/>
        <n v="5925.665432034812"/>
        <n v="9579.9375"/>
        <n v="6663.9375"/>
        <n v="5142.1875"/>
        <n v="1748.0625"/>
        <n v="3292.9227314601567"/>
        <n v="1096.0"/>
        <n v="19233.25"/>
        <n v="336869.4108899477"/>
        <n v="56590.680846737065"/>
        <n v="24202.031760872487"/>
        <n v="7140.375"/>
        <n v="6625.0"/>
        <n v="7708.014826960647"/>
        <n v="5841.28377148559"/>
        <n v="9434.881471908311"/>
        <n v="7192.7398859346795"/>
        <n v="6257.332125869374"/>
        <n v="3512.715054032419"/>
        <n v="24210.4431576629"/>
        <n v="625.0"/>
        <n v="1330.5"/>
        <n v="4163.546646341463"/>
        <n v="1100.0"/>
        <n v="318.9375"/>
        <n v="99339.24245044972"/>
        <n v="38777.75"/>
        <n v="66780.02516571636"/>
        <n v="12368.326429226538"/>
        <n v="14879.713405946177"/>
        <n v="16237.123692544996"/>
        <n v="47176.32395357167"/>
        <n v="7296.451253094447"/>
        <n v="11084.37724587245"/>
        <n v="7570.25"/>
        <n v="5615.698870419853"/>
        <n v="5764.25"/>
        <n v="6370.273984649824"/>
        <n v="3107.5"/>
        <n v="11359.1875"/>
        <n v="6875.108587196977"/>
        <n v="4938.125"/>
        <n v="7249.28120124805"/>
        <n v="6639.915658670461"/>
        <n v="8911.229578687144"/>
        <n v="6898.514798737175"/>
        <n v="5044.9375"/>
        <n v="248713.95230089073"/>
        <n v="24142.308671730636"/>
        <n v="21004.30337806924"/>
        <n v="26095.115443817343"/>
        <n v="15643.6875"/>
        <n v="15854.746521448536"/>
        <n v="12996.225297656545"/>
        <n v="7204.9828050884"/>
        <n v="7896.623823830818"/>
        <n v="11112.73293182954"/>
        <n v="12507.043623315292"/>
        <n v="580.1875"/>
        <n v="17846.807251908394"/>
        <n v="4804.261499540018"/>
        <n v="1938.0"/>
        <n v="1688.526968716289"/>
        <n v="103511.68830533563"/>
        <n v="162175.42369222056"/>
        <n v="65853.76781307737"/>
        <n v="32428.641400980992"/>
        <n v="168050.98948908993"/>
        <n v="234832.15523543968"/>
        <n v="26177.410471441523"/>
        <n v="30794.14173768812"/>
        <n v="90639.82153502236"/>
        <n v="1690.375"/>
        <n v="200.0"/>
        <n v="137620.1967193348"/>
        <n v="10522.75"/>
        <n v="406583.25020410714"/>
        <n v="27684.0181386664"/>
        <n v="1128.5625"/>
        <n v="10059.125"/>
        <n v="6862.3125"/>
        <n v="5302.2535647498835"/>
        <n v="1413.3470043201455"/>
        <n v="3527.1422368683343"/>
        <n v="809.3125"/>
        <n v="17280.956693575514"/>
        <n v="7949.905491523356"/>
        <n v="2085.209703895198"/>
      </sharedItems>
    </cacheField>
    <cacheField name="Direct Savings" numFmtId="164">
      <sharedItems containsSemiMixedTypes="0" containsString="0" containsNumber="1">
        <n v="22800.0"/>
        <n v="933700.0"/>
        <n v="-82400.0"/>
        <n v="-78400.0"/>
        <n v="-23400.0"/>
        <n v="-400.0"/>
        <n v="7080.000000000004"/>
        <n v="5440.000000000002"/>
        <n v="3560.0"/>
        <n v="-2000.0"/>
        <n v="9780.0"/>
        <n v="870340.0"/>
        <n v="67520.0"/>
        <n v="48760.0"/>
        <n v="90240.0"/>
        <n v="-5379.999999999999"/>
        <n v="30740.0"/>
        <n v="41640.00000000001"/>
        <n v="-6000.0"/>
        <n v="70780.0"/>
        <n v="10100.0"/>
        <n v="2920.000000000001"/>
        <n v="-2400.0"/>
        <n v="116620.00000000001"/>
        <n v="24060.0"/>
        <n v="300.0"/>
        <n v="2320.0"/>
        <n v="240.0"/>
        <n v="1480.0"/>
        <n v="-62400.0"/>
        <n v="27900.0"/>
        <n v="-620.0"/>
        <n v="-25000.0"/>
        <n v="15440.000000000004"/>
        <n v="-2799.9999999999964"/>
        <n v="2561420.0"/>
        <n v="177660.00000000003"/>
        <n v="184080.0"/>
        <n v="253340.0"/>
        <n v="195280.00000000003"/>
        <n v="61940.0"/>
        <n v="177940.0"/>
        <n v="7500.0"/>
        <n v="-280.0"/>
        <n v="442180.0"/>
        <n v="235700.0"/>
        <n v="148560.0"/>
        <n v="177080.00000000003"/>
        <n v="-3500.0"/>
        <n v="-6400.0"/>
        <n v="56260.00000000001"/>
        <n v="-5800.0"/>
        <n v="-4800.0"/>
        <n v="-104779.99999999997"/>
        <n v="221300.0"/>
        <n v="35260.00000000001"/>
        <n v="51340.00000000001"/>
        <n v="22620.0"/>
        <n v="127880.00000000006"/>
        <n v="-31800.0"/>
        <n v="19060.0"/>
        <n v="19480.0"/>
        <n v="-25200.0"/>
        <n v="-19000.0"/>
        <n v="-18800.0"/>
        <n v="53420.0"/>
        <n v="-11580.0"/>
        <n v="-1140.0"/>
        <n v="-4940.0"/>
        <n v="11060.0"/>
        <n v="17140.0"/>
        <n v="18520.0"/>
        <n v="-3200.0"/>
        <n v="1180.0"/>
        <n v="3860.0"/>
        <n v="1260.0000000000005"/>
        <n v="820.0"/>
        <n v="-600.0"/>
        <n v="-140.0"/>
        <n v="-14200.0"/>
        <n v="-406120.0"/>
        <n v="14000.0"/>
        <n v="5060.0"/>
        <n v="-5200.0"/>
        <n v="-4600.0"/>
        <n v="-3400.0"/>
        <n v="60.000000000000455"/>
        <n v="-2600.0"/>
        <n v="-1020.0"/>
        <n v="15240.0"/>
        <n v="-1000.0"/>
        <n v="-800.0"/>
        <n v="-96800.0"/>
        <n v="-46800.0"/>
        <n v="4040.0"/>
        <n v="-99.99999999999955"/>
        <n v="2840.0"/>
        <n v="3100.0"/>
        <n v="27680.0"/>
        <n v="-380.0"/>
        <n v="1640.0"/>
        <n v="480.0"/>
        <n v="-1080.0"/>
        <n v="1660.0000000000005"/>
        <n v="-1200.0"/>
        <n v="6020.000000000001"/>
        <n v="2060.0000000000005"/>
        <n v="2580.0"/>
        <n v="4400.0"/>
        <n v="3300.0000000000005"/>
        <n v="2460.0000000000005"/>
        <n v="141260.0"/>
        <n v="8740.0"/>
        <n v="7600.0"/>
        <n v="10860.0"/>
        <n v="3200.0"/>
        <n v="6060.000000000001"/>
        <n v="4180.0"/>
        <n v="2900.0000000000005"/>
        <n v="3160.0"/>
        <n v="4720.000000000001"/>
        <n v="7780.0"/>
        <n v="10580.0"/>
        <n v="1740.0"/>
        <n v="380.0"/>
        <n v="-76280.0"/>
        <n v="-66200.0"/>
        <n v="-20200.0"/>
        <n v="10080.0"/>
        <n v="106260.00000000001"/>
        <n v="-150220.0"/>
        <n v="-28600.0"/>
        <n v="-15600.0"/>
        <n v="51140.0"/>
        <n v="440.0"/>
        <n v="-39400.0"/>
        <n v="3000.0"/>
        <n v="21640.0"/>
        <n v="-10240.0"/>
        <n v="-940.0"/>
        <n v="7660.000000000001"/>
        <n v="-4000.0"/>
        <n v="-2200.0"/>
        <n v="-1600.0"/>
        <n v="-4200.0"/>
        <n v="-1400.0"/>
      </sharedItems>
    </cacheField>
    <cacheField name="Total Return" numFmtId="164">
      <sharedItems containsSemiMixedTypes="0" containsString="0" containsNumber="1">
        <n v="96515.70676102806"/>
        <n v="2792814.2559326803"/>
        <n v="247012.4018121065"/>
        <n v="243007.6098005987"/>
        <n v="28456.349368680916"/>
        <n v="-139.625"/>
        <n v="54600.320610887895"/>
        <n v="28425.467970452897"/>
        <n v="17850.54058652596"/>
        <n v="1008.8147893338396"/>
        <n v="98089.3405139427"/>
        <n v="2114009.0783789945"/>
        <n v="211888.5700389105"/>
        <n v="193102.95989969064"/>
        <n v="285397.28183722874"/>
        <n v="68606.29097771387"/>
        <n v="112700.6193094783"/>
        <n v="134140.11404725866"/>
        <n v="5253.056201911144"/>
        <n v="184371.29614984992"/>
        <n v="30911.75"/>
        <n v="16884.304876276805"/>
        <n v="2048.2016606287325"/>
        <n v="258238.20100057684"/>
        <n v="59298.5632474701"/>
        <n v="4619.150145845906"/>
        <n v="11027.172056296997"/>
        <n v="2514.0625"/>
        <n v="4772.125"/>
        <n v="81785.62473558963"/>
        <n v="88597.3634438694"/>
        <n v="8210.4375"/>
        <n v="11056.474026787575"/>
        <n v="42617.2172144287"/>
        <n v="93641.2949251667"/>
        <n v="7242394.446947285"/>
        <n v="586187.1301143811"/>
        <n v="578068.2297797923"/>
        <n v="680848.3920751769"/>
        <n v="539091.5371717614"/>
        <n v="200550.09475144962"/>
        <n v="451447.2010177345"/>
        <n v="21470.79129671691"/>
        <n v="865.875"/>
        <n v="1190371.080688474"/>
        <n v="686689.1909461446"/>
        <n v="512284.29109936004"/>
        <n v="452304.5822830573"/>
        <n v="30711.111920205607"/>
        <n v="26046.420942146215"/>
        <n v="144422.092575449"/>
        <n v="575.0"/>
        <n v="3400.0"/>
        <n v="275449.10782067047"/>
        <n v="698881.6197372525"/>
        <n v="118245.38227282072"/>
        <n v="144398.16859352635"/>
        <n v="70063.40323776785"/>
        <n v="1105509.3600663575"/>
        <n v="13535.708623303246"/>
        <n v="95192.26430625486"/>
        <n v="105683.46311814852"/>
        <n v="7825.979568462542"/>
        <n v="70507.30211871023"/>
        <n v="-2360.3125"/>
        <n v="183069.20062268423"/>
        <n v="4946.328792309821"/>
        <n v="27154.02252235607"/>
        <n v="5599.2603385029015"/>
        <n v="50773.216721578894"/>
        <n v="56920.17803852414"/>
        <n v="11295.125"/>
        <n v="53801.74118627918"/>
        <n v="26155.131706576045"/>
        <n v="7105.665432034812"/>
        <n v="13439.9375"/>
        <n v="7923.9375"/>
        <n v="5962.1875"/>
        <n v="1468.0625"/>
        <n v="2692.9227314601567"/>
        <n v="956.0"/>
        <n v="5033.25"/>
        <n v="-69250.58911005227"/>
        <n v="70590.68084673706"/>
        <n v="29262.031760872487"/>
        <n v="1940.375"/>
        <n v="2025.0"/>
        <n v="4308.014826960647"/>
        <n v="2641.2837714855896"/>
        <n v="6234.881471908311"/>
        <n v="7252.7398859346795"/>
        <n v="3657.332125869374"/>
        <n v="2492.715054032419"/>
        <n v="39450.4431576629"/>
        <n v="-375.0"/>
        <n v="530.5"/>
        <n v="5643.546646341463"/>
        <n v="700.0"/>
        <n v="-81.0625"/>
        <n v="2539.2424504497176"/>
        <n v="-8022.25"/>
        <n v="70820.02516571636"/>
        <n v="12268.326429226538"/>
        <n v="17719.713405946175"/>
        <n v="19337.123692544996"/>
        <n v="74856.32395357167"/>
        <n v="6916.451253094447"/>
        <n v="12724.37724587245"/>
        <n v="8050.25"/>
        <n v="4535.698870419853"/>
        <n v="7424.25"/>
        <n v="5170.273984649824"/>
        <n v="3927.5"/>
        <n v="17379.1875"/>
        <n v="7695.108587196977"/>
        <n v="6998.125"/>
        <n v="9829.28120124805"/>
        <n v="5839.915658670461"/>
        <n v="13311.229578687144"/>
        <n v="10198.514798737175"/>
        <n v="7504.9375"/>
        <n v="389973.9523008907"/>
        <n v="32882.308671730636"/>
        <n v="28604.30337806924"/>
        <n v="36955.11544381734"/>
        <n v="18843.6875"/>
        <n v="21914.74652144854"/>
        <n v="17176.225297656543"/>
        <n v="10104.9828050884"/>
        <n v="11056.623823830818"/>
        <n v="15832.732931829541"/>
        <n v="20287.043623315294"/>
        <n v="-19.8125"/>
        <n v="28426.807251908394"/>
        <n v="6544.261499540018"/>
        <n v="2318.0"/>
        <n v="1288.526968716289"/>
        <n v="27231.68830533563"/>
        <n v="95975.42369222056"/>
        <n v="45653.76781307737"/>
        <n v="42508.641400980996"/>
        <n v="274310.98948908993"/>
        <n v="84612.15523543968"/>
        <n v="-2422.5895285584775"/>
        <n v="15194.141737688122"/>
        <n v="141779.82153502235"/>
        <n v="2130.375"/>
        <n v="-200.0"/>
        <n v="98220.19671933481"/>
        <n v="13522.75"/>
        <n v="428223.25020410714"/>
        <n v="17444.0181386664"/>
        <n v="188.5625"/>
        <n v="17719.125"/>
        <n v="2862.3125"/>
        <n v="3102.2535647498835"/>
        <n v="-186.65299567985448"/>
        <n v="1927.1422368683343"/>
        <n v="-190.6875"/>
        <n v="13080.956693575514"/>
        <n v="5949.905491523356"/>
        <n v="685.2097038951979"/>
      </sharedItems>
    </cacheField>
    <cacheField name="ROI (in X)" numFmtId="4">
      <sharedItems containsSemiMixedTypes="0" containsString="0" containsNumber="1">
        <n v="5.957759676606671"/>
        <n v="16.94668844619345"/>
        <n v="2.9977233229624574"/>
        <n v="3.099586859701514"/>
        <n v="1.2160833063538852"/>
        <n v="-0.3490625"/>
        <n v="3.4557164943599936"/>
        <n v="4.737577995075482"/>
        <n v="5.578293933289363"/>
        <n v="0.5044073946669198"/>
        <n v="3.955215343304141"/>
        <n v="38.4365286977999"/>
        <n v="7.2564578780448805"/>
        <n v="7.543084371081665"/>
        <n v="19.283600124137077"/>
        <n v="5.532765401428538"/>
        <n v="10.632133897120593"/>
        <n v="15.243194778097575"/>
        <n v="0.8755093669851907"/>
        <n v="34.14283262034258"/>
        <n v="7.359940476190476"/>
        <n v="6.030108884384573"/>
        <n v="0.8534173585953052"/>
        <n v="117.38100045480765"/>
        <n v="26.95389238521368"/>
        <n v="4.619150145845906"/>
        <n v="13.783965070371245"/>
        <n v="3.142578125"/>
        <n v="7.953541666666666"/>
        <n v="1.3106670630703467"/>
        <n v="12.305189367204084"/>
        <n v="5.8645982142857145"/>
        <n v="0.442258961071503"/>
        <n v="11.215057161691764"/>
        <n v="3.574095226151401"/>
        <n v="12.350604445680908"/>
        <n v="8.422228880953751"/>
        <n v="10.106087933213152"/>
        <n v="16.936527166049178"/>
        <n v="14.112343905019932"/>
        <n v="7.654583769139299"/>
        <n v="20.520327318987928"/>
        <n v="13.41924456044807"/>
        <n v="1.08234375"/>
        <n v="17.45412141771956"/>
        <n v="10.629863636937223"/>
        <n v="9.180722062712546"/>
        <n v="25.99451622316421"/>
        <n v="3.0711111920205605"/>
        <n v="4.069753272210346"/>
        <n v="22.565951964913907"/>
        <n v="0.09913793103448276"/>
        <n v="0.7083333333333333"/>
        <n v="1.1515430928957795"/>
        <n v="8.051631563793231"/>
        <n v="6.955610721930631"/>
        <n v="10.775982730860175"/>
        <n v="8.982487594585622"/>
        <n v="4.184365480947606"/>
        <n v="0.42565121456928445"/>
        <n v="3.399723725223388"/>
        <n v="3.943412802915989"/>
        <n v="0.31055474478025963"/>
        <n v="3.710910637826854"/>
        <n v="-0.12554853723404255"/>
        <n v="9.84243014100453"/>
        <n v="0.3691290143514792"/>
        <n v="2.3011883493522096"/>
        <n v="0.717853889551654"/>
        <n v="6.861245502916066"/>
        <n v="9.486696339754024"/>
        <n v="2.016986607142857"/>
        <n v="9.963285404866514"/>
        <n v="8.173478658305013"/>
        <n v="3.229847923652187"/>
        <n v="8.3999609375"/>
        <n v="4.9524609375"/>
        <n v="5.9621875"/>
        <n v="1.835078125"/>
        <n v="4.4882045524335945"/>
        <n v="2.39"/>
        <n v="0.35445422535211263"/>
        <n v="-0.1644126047247205"/>
        <n v="5.8825567372280885"/>
        <n v="5.225362814441516"/>
        <n v="0.37314903846153846"/>
        <n v="0.44021739130434784"/>
        <n v="1.2670631844001903"/>
        <n v="0.8254011785892468"/>
        <n v="1.9484004599713471"/>
        <n v="2.5902642449766713"/>
        <n v="1.4066662022574516"/>
        <n v="1.3848416966846773"/>
        <n v="28.178887969759213"/>
        <n v="-0.375"/>
        <n v="0.663125"/>
        <n v="9.405911077235773"/>
        <n v="1.75"/>
        <n v="-0.20265625"/>
        <n v="0.02623184349638138"/>
        <n v="-0.1714155982905983"/>
        <n v="3.9786530991975484"/>
        <n v="3.0670816073066347"/>
        <n v="5.21168041351358"/>
        <n v="5.687389321336764"/>
        <n v="24.95210798452389"/>
        <n v="3.143841478679294"/>
        <n v="6.362188622936226"/>
        <n v="5.03140625"/>
        <n v="2.834811794012408"/>
        <n v="6.186875"/>
        <n v="4.308561653874854"/>
        <n v="3.9275"/>
        <n v="17.3791875"/>
        <n v="7.695108587196977"/>
        <n v="8.74765625"/>
        <n v="12.286601501560062"/>
        <n v="7.299894573338077"/>
        <n v="16.63903697335893"/>
        <n v="16.997524664561958"/>
        <n v="18.76234375"/>
        <n v="22.157610926186972"/>
        <n v="8.220577167932658"/>
        <n v="10.215822635024727"/>
        <n v="15.397964768257225"/>
        <n v="9.42184375"/>
        <n v="10.95737326072427"/>
        <n v="9.542347387586968"/>
        <n v="10.104982805088401"/>
        <n v="11.056623823830819"/>
        <n v="15.832732931829542"/>
        <n v="25.358804529144116"/>
        <n v="-0.03302083333333333"/>
        <n v="47.37801208651399"/>
        <n v="10.907102499233362"/>
        <n v="5.795"/>
        <n v="3.221317421790723"/>
        <n v="0.35457927480905765"/>
        <n v="1.4497798140818816"/>
        <n v="2.26008751549888"/>
        <n v="8.501728280196199"/>
        <n v="32.65607017727261"/>
        <n v="0.5603453989101965"/>
        <n v="-0.08470592757197475"/>
        <n v="0.9739834447235975"/>
        <n v="16.878550182740756"/>
        <n v="3.550625"/>
        <n v="-0.5"/>
        <n v="2.492898393891746"/>
        <n v="6.146704545454545"/>
        <n v="4.695430375045034"/>
        <n v="1.4783066219208814"/>
        <n v="0.15713541666666667"/>
        <n v="44.2978125"/>
        <n v="0.715578125"/>
        <n v="1.4101152567044926"/>
        <n v="-0.11665812229990906"/>
        <n v="1.204463898042709"/>
        <n v="-0.1906875"/>
        <n v="3.1145134984703606"/>
        <n v="2.9749527457616782"/>
        <n v="0.4894355027822842"/>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2" cacheId="0" dataCaption="" compact="0" compactData="0">
  <location ref="A1:D31" firstHeaderRow="0" firstDataRow="2" firstDataCol="0"/>
  <pivotFields>
    <pivotField name="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Company" axis="axisRow" compact="0" outline="0" multipleItemSelectionAllowed="1" showAll="0" sortType="ascending">
      <items>
        <item x="2"/>
        <item x="15"/>
        <item x="0"/>
        <item x="26"/>
        <item x="3"/>
        <item x="7"/>
        <item x="5"/>
        <item x="11"/>
        <item x="8"/>
        <item x="25"/>
        <item x="21"/>
        <item x="23"/>
        <item x="12"/>
        <item x="14"/>
        <item x="24"/>
        <item x="13"/>
        <item x="1"/>
        <item x="18"/>
        <item x="4"/>
        <item x="19"/>
        <item x="16"/>
        <item x="10"/>
        <item x="22"/>
        <item x="17"/>
        <item x="27"/>
        <item x="28"/>
        <item x="9"/>
        <item x="6"/>
        <item x="20"/>
        <item t="default"/>
      </items>
    </pivotField>
    <pivotField name="Agency" compact="0" outline="0" multipleItemSelectionAllowed="1" showAll="0">
      <items>
        <item x="0"/>
        <item x="1"/>
        <item x="2"/>
        <item t="default"/>
      </items>
    </pivotField>
    <pivotField name="campaign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name="campaign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t="default"/>
      </items>
    </pivotField>
    <pivotField name="Paid or not" compact="0" outline="0" multipleItemSelectionAllowed="1" showAll="0">
      <items>
        <item x="0"/>
        <item x="1"/>
        <item x="2"/>
        <item t="default"/>
      </items>
    </pivotField>
    <pivotField name="potential r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 name="total_shar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Reach per Share"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 name="total_click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Clicks per Share"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total_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ame="Comments Per Share"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name="total_lik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Likes Per Share"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total_post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sha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Registration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EMV"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name="Direct Saving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Total Return"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name="ROI (in X)"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s>
  <rowFields>
    <field x="1"/>
  </rowFields>
  <colFields>
    <field x="-2"/>
  </colFields>
  <dataFields>
    <dataField name="SUM of total_share" fld="7" baseField="0"/>
    <dataField name="SUM of total_clicks" fld="9" baseField="0"/>
    <dataField name="SUM of Registrations" fld="17" baseField="0"/>
  </dataFields>
</pivotTableDefinition>
</file>

<file path=xl/pivotTables/pivotTable2.xml><?xml version="1.0" encoding="utf-8"?>
<pivotTableDefinition xmlns="http://schemas.openxmlformats.org/spreadsheetml/2006/main" name="Pivot Table 1" cacheId="0" dataCaption="" compact="0" compactData="0">
  <location ref="A3:D6" firstHeaderRow="0" firstDataRow="2" firstDataCol="0" rowPageCount="1" colPageCount="1"/>
  <pivotFields>
    <pivotField name="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Agency" compact="0" outline="0" multipleItemSelectionAllowed="1" showAll="0">
      <items>
        <item x="0"/>
        <item x="1"/>
        <item x="2"/>
        <item t="default"/>
      </items>
    </pivotField>
    <pivotField name="campaign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name="campaign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t="default"/>
      </items>
    </pivotField>
    <pivotField name="Paid or not" axis="axisRow" compact="0" outline="0" multipleItemSelectionAllowed="1" showAll="0" sortType="ascending">
      <items>
        <item x="2"/>
        <item x="0"/>
        <item x="1"/>
        <item t="default"/>
      </items>
    </pivotField>
    <pivotField name="potential r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 name="total_shar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Reach per Share"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 name="total_clicks" axis="axisPage" compact="0" outline="0" multipleItemSelectionAllowed="1" showAll="0">
      <items>
        <item x="0"/>
        <item x="1"/>
        <item h="1"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Clicks per Share"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total_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ame="Comments Per Share"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name="total_lik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Likes Per Share"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total_post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sha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Registrat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EMV"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name="Direct Savings"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Total Return"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name="ROI (in X)"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s>
  <rowFields>
    <field x="5"/>
  </rowFields>
  <colFields>
    <field x="-2"/>
  </colFields>
  <pageFields>
    <pageField fld="9"/>
  </pageFields>
  <dataFields>
    <dataField name="SUM of Total Return" fld="20" baseField="0"/>
    <dataField name="SUM of total_share" fld="7" baseField="0"/>
    <dataField name="AVERAGE of ROI (in X)" fld="21"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1.22" defaultRowHeight="15.0"/>
  <cols>
    <col customWidth="1" min="1" max="4" width="10.56"/>
    <col customWidth="1" min="5" max="5" width="58.56"/>
    <col customWidth="1" min="6" max="26" width="10.56"/>
  </cols>
  <sheetData>
    <row r="1" ht="15.75" customHeight="1">
      <c r="A1" s="1" t="s">
        <v>0</v>
      </c>
      <c r="G1" s="1">
        <f t="shared" ref="G1:P1" si="1">MIN(G$7:G$169)</f>
        <v>0</v>
      </c>
      <c r="H1" s="1">
        <f t="shared" si="1"/>
        <v>2</v>
      </c>
      <c r="I1" s="2">
        <f t="shared" si="1"/>
        <v>0</v>
      </c>
      <c r="J1" s="1">
        <f t="shared" si="1"/>
        <v>0</v>
      </c>
      <c r="K1" s="2">
        <f t="shared" si="1"/>
        <v>0</v>
      </c>
      <c r="L1" s="1">
        <f t="shared" si="1"/>
        <v>0</v>
      </c>
      <c r="M1" s="2">
        <f t="shared" si="1"/>
        <v>0</v>
      </c>
      <c r="N1" s="1">
        <f t="shared" si="1"/>
        <v>0</v>
      </c>
      <c r="O1" s="2">
        <f t="shared" si="1"/>
        <v>0</v>
      </c>
      <c r="P1" s="1">
        <f t="shared" si="1"/>
        <v>1</v>
      </c>
      <c r="S1" s="3"/>
      <c r="T1" s="3"/>
      <c r="U1" s="3"/>
      <c r="V1" s="4"/>
    </row>
    <row r="2" ht="15.75" customHeight="1">
      <c r="A2" s="1" t="s">
        <v>1</v>
      </c>
      <c r="G2" s="1">
        <f t="shared" ref="G2:P2" si="2">AVERAGE(G$7:G$169)</f>
        <v>126951.2454</v>
      </c>
      <c r="H2" s="1">
        <f t="shared" si="2"/>
        <v>120.7546012</v>
      </c>
      <c r="I2" s="2">
        <f t="shared" si="2"/>
        <v>1765.168851</v>
      </c>
      <c r="J2" s="1">
        <f t="shared" si="2"/>
        <v>249.6932515</v>
      </c>
      <c r="K2" s="2">
        <f t="shared" si="2"/>
        <v>2.387346117</v>
      </c>
      <c r="L2" s="1">
        <f t="shared" si="2"/>
        <v>72.0797546</v>
      </c>
      <c r="M2" s="2">
        <f t="shared" si="2"/>
        <v>0.1000981784</v>
      </c>
      <c r="N2" s="1">
        <f t="shared" si="2"/>
        <v>1126.055215</v>
      </c>
      <c r="O2" s="2">
        <f t="shared" si="2"/>
        <v>1.984871089</v>
      </c>
      <c r="P2" s="1">
        <f t="shared" si="2"/>
        <v>5.515337423</v>
      </c>
      <c r="S2" s="3"/>
      <c r="T2" s="3"/>
      <c r="U2" s="3"/>
      <c r="V2" s="4"/>
    </row>
    <row r="3" ht="15.75" customHeight="1">
      <c r="A3" s="1" t="s">
        <v>2</v>
      </c>
      <c r="G3" s="1">
        <f t="shared" ref="G3:P3" si="3">MEDIAN(G$7:G$169)</f>
        <v>37835</v>
      </c>
      <c r="H3" s="1">
        <f t="shared" si="3"/>
        <v>20</v>
      </c>
      <c r="I3" s="2">
        <f t="shared" si="3"/>
        <v>1589.803571</v>
      </c>
      <c r="J3" s="1">
        <f t="shared" si="3"/>
        <v>13</v>
      </c>
      <c r="K3" s="2">
        <f t="shared" si="3"/>
        <v>1.292857143</v>
      </c>
      <c r="L3" s="1">
        <f t="shared" si="3"/>
        <v>5</v>
      </c>
      <c r="M3" s="2">
        <f t="shared" si="3"/>
        <v>0.002786125097</v>
      </c>
      <c r="N3" s="1">
        <f t="shared" si="3"/>
        <v>199</v>
      </c>
      <c r="O3" s="2">
        <f t="shared" si="3"/>
        <v>0.1165653732</v>
      </c>
      <c r="P3" s="1">
        <f t="shared" si="3"/>
        <v>2</v>
      </c>
      <c r="S3" s="3"/>
      <c r="T3" s="3"/>
      <c r="U3" s="3"/>
      <c r="V3" s="4"/>
    </row>
    <row r="4" ht="15.75" customHeight="1">
      <c r="A4" s="1" t="s">
        <v>3</v>
      </c>
      <c r="G4" s="1">
        <f t="shared" ref="G4:P4" si="4">MODE(G$7:G$169)</f>
        <v>0</v>
      </c>
      <c r="H4" s="1">
        <f t="shared" si="4"/>
        <v>2</v>
      </c>
      <c r="I4" s="1">
        <f t="shared" si="4"/>
        <v>0</v>
      </c>
      <c r="J4" s="1">
        <f t="shared" si="4"/>
        <v>0</v>
      </c>
      <c r="K4" s="1">
        <f t="shared" si="4"/>
        <v>0</v>
      </c>
      <c r="L4" s="1">
        <f t="shared" si="4"/>
        <v>0</v>
      </c>
      <c r="M4" s="1">
        <f t="shared" si="4"/>
        <v>0</v>
      </c>
      <c r="N4" s="1">
        <f t="shared" si="4"/>
        <v>0</v>
      </c>
      <c r="O4" s="1">
        <f t="shared" si="4"/>
        <v>0</v>
      </c>
      <c r="P4" s="1">
        <f t="shared" si="4"/>
        <v>1</v>
      </c>
      <c r="S4" s="3"/>
      <c r="T4" s="3"/>
      <c r="U4" s="3"/>
      <c r="V4" s="4"/>
    </row>
    <row r="5" ht="15.75" customHeight="1">
      <c r="A5" s="1" t="s">
        <v>4</v>
      </c>
      <c r="G5" s="1">
        <f t="shared" ref="G5:P5" si="5">MAX(G$7:G$169)</f>
        <v>4785277</v>
      </c>
      <c r="H5" s="1">
        <f t="shared" si="5"/>
        <v>2932</v>
      </c>
      <c r="I5" s="2">
        <f t="shared" si="5"/>
        <v>8837.571429</v>
      </c>
      <c r="J5" s="1">
        <f t="shared" si="5"/>
        <v>12107</v>
      </c>
      <c r="K5" s="2">
        <f t="shared" si="5"/>
        <v>41.54545455</v>
      </c>
      <c r="L5" s="1">
        <f t="shared" si="5"/>
        <v>4003</v>
      </c>
      <c r="M5" s="2">
        <f t="shared" si="5"/>
        <v>4.805717799</v>
      </c>
      <c r="N5" s="1">
        <f t="shared" si="5"/>
        <v>20196</v>
      </c>
      <c r="O5" s="2">
        <f t="shared" si="5"/>
        <v>103.1610821</v>
      </c>
      <c r="P5" s="1">
        <f t="shared" si="5"/>
        <v>185</v>
      </c>
      <c r="S5" s="3"/>
      <c r="T5" s="3"/>
      <c r="U5" s="3"/>
      <c r="V5" s="4"/>
    </row>
    <row r="6" ht="15.75" customHeight="1">
      <c r="A6" s="5" t="s">
        <v>5</v>
      </c>
      <c r="B6" s="1" t="s">
        <v>6</v>
      </c>
      <c r="C6" s="1" t="s">
        <v>7</v>
      </c>
      <c r="D6" s="1" t="s">
        <v>8</v>
      </c>
      <c r="E6" s="1" t="s">
        <v>9</v>
      </c>
      <c r="F6" s="5" t="s">
        <v>10</v>
      </c>
      <c r="G6" s="5" t="s">
        <v>11</v>
      </c>
      <c r="H6" s="1" t="s">
        <v>12</v>
      </c>
      <c r="I6" s="1" t="s">
        <v>13</v>
      </c>
      <c r="J6" s="1" t="s">
        <v>14</v>
      </c>
      <c r="K6" s="1" t="s">
        <v>15</v>
      </c>
      <c r="L6" s="1" t="s">
        <v>16</v>
      </c>
      <c r="M6" s="1" t="s">
        <v>17</v>
      </c>
      <c r="N6" s="1" t="s">
        <v>18</v>
      </c>
      <c r="O6" s="1" t="s">
        <v>19</v>
      </c>
      <c r="P6" s="1" t="s">
        <v>20</v>
      </c>
      <c r="Q6" s="5" t="s">
        <v>21</v>
      </c>
      <c r="R6" s="5" t="s">
        <v>22</v>
      </c>
      <c r="S6" s="6" t="s">
        <v>23</v>
      </c>
      <c r="T6" s="6" t="s">
        <v>24</v>
      </c>
      <c r="U6" s="6" t="s">
        <v>25</v>
      </c>
      <c r="V6" s="7" t="s">
        <v>26</v>
      </c>
      <c r="W6" s="5" t="s">
        <v>27</v>
      </c>
    </row>
    <row r="7" ht="15.75" customHeight="1">
      <c r="A7" s="1" t="s">
        <v>28</v>
      </c>
      <c r="B7" s="1" t="s">
        <v>29</v>
      </c>
      <c r="D7" s="1">
        <v>343.0</v>
      </c>
      <c r="E7" s="1" t="s">
        <v>30</v>
      </c>
      <c r="F7" s="5" t="s">
        <v>31</v>
      </c>
      <c r="G7" s="1">
        <v>90247.0</v>
      </c>
      <c r="H7" s="1">
        <v>81.0</v>
      </c>
      <c r="I7" s="8">
        <v>1114.1604938271605</v>
      </c>
      <c r="J7" s="1">
        <v>150.0</v>
      </c>
      <c r="K7" s="8">
        <v>1.8518518518518519</v>
      </c>
      <c r="L7" s="1">
        <v>6.0</v>
      </c>
      <c r="M7" s="8">
        <v>0.0053852205613483</v>
      </c>
      <c r="N7" s="1">
        <v>623.0</v>
      </c>
      <c r="O7" s="8">
        <v>0.5591654016199984</v>
      </c>
      <c r="P7" s="1">
        <v>8.0</v>
      </c>
      <c r="Q7" s="1">
        <f t="shared" ref="Q7:Q169" si="6">H7*2</f>
        <v>162</v>
      </c>
      <c r="R7" s="1">
        <f>J7*Assumptions!$E$19</f>
        <v>39</v>
      </c>
      <c r="S7" s="3">
        <f>G7*Assumptions!$E$10*Assumptions!$E$6+J7*Assumptions!$E$7+M7*Assumptions!$E$13*Assumptions!$E$6+N7*Assumptions!$E$12*Assumptions!$E$6+Q7*Assumptions!$E$15*Assumptions!$E$6</f>
        <v>73715.70676</v>
      </c>
      <c r="T7" s="3">
        <f>R7*Assumptions!$E$20-H7*Assumptions!$E$21</f>
        <v>22800</v>
      </c>
      <c r="U7" s="3">
        <f t="shared" ref="U7:U169" si="7">T7+S7</f>
        <v>96515.70676</v>
      </c>
      <c r="V7" s="4">
        <f>U7/H7/Assumptions!$E$21</f>
        <v>5.957759677</v>
      </c>
      <c r="W7" s="3">
        <f t="shared" ref="W7:W169" si="8">R7/H7</f>
        <v>0.4814814815</v>
      </c>
    </row>
    <row r="8" ht="15.75" customHeight="1">
      <c r="A8" s="1" t="s">
        <v>32</v>
      </c>
      <c r="B8" s="1" t="s">
        <v>33</v>
      </c>
      <c r="D8" s="1">
        <v>231.0</v>
      </c>
      <c r="E8" s="1" t="s">
        <v>34</v>
      </c>
      <c r="F8" s="5" t="s">
        <v>31</v>
      </c>
      <c r="G8" s="1">
        <v>916839.0</v>
      </c>
      <c r="H8" s="1">
        <v>824.0</v>
      </c>
      <c r="I8" s="8">
        <v>1112.6686893203882</v>
      </c>
      <c r="J8" s="1">
        <v>4225.0</v>
      </c>
      <c r="K8" s="8">
        <v>5.127427184466019</v>
      </c>
      <c r="L8" s="1">
        <v>263.0</v>
      </c>
      <c r="M8" s="8">
        <v>0.2363686536022137</v>
      </c>
      <c r="N8" s="1">
        <v>18752.0</v>
      </c>
      <c r="O8" s="8">
        <v>16.853174875850616</v>
      </c>
      <c r="P8" s="1">
        <v>5.0</v>
      </c>
      <c r="Q8" s="1">
        <f t="shared" si="6"/>
        <v>1648</v>
      </c>
      <c r="R8" s="1">
        <f>J8*Assumptions!$E$19</f>
        <v>1098.5</v>
      </c>
      <c r="S8" s="3">
        <f>G8*Assumptions!$E$10*Assumptions!$E$6+J8*Assumptions!$E$7+M8*Assumptions!$E$13*Assumptions!$E$6+N8*Assumptions!$E$12*Assumptions!$E$6+Q8*Assumptions!$E$15*Assumptions!$E$6</f>
        <v>1859114.256</v>
      </c>
      <c r="T8" s="3">
        <f>R8*Assumptions!$E$20-H8*Assumptions!$E$21</f>
        <v>933700</v>
      </c>
      <c r="U8" s="3">
        <f t="shared" si="7"/>
        <v>2792814.256</v>
      </c>
      <c r="V8" s="4">
        <f>U8/H8/Assumptions!$E$21</f>
        <v>16.94668845</v>
      </c>
      <c r="W8" s="3">
        <f t="shared" si="8"/>
        <v>1.333131068</v>
      </c>
    </row>
    <row r="9" ht="15.75" customHeight="1">
      <c r="A9" s="1" t="s">
        <v>32</v>
      </c>
      <c r="B9" s="1" t="s">
        <v>33</v>
      </c>
      <c r="D9" s="1">
        <v>237.0</v>
      </c>
      <c r="E9" s="1" t="s">
        <v>35</v>
      </c>
      <c r="F9" s="5" t="s">
        <v>31</v>
      </c>
      <c r="G9" s="1">
        <v>429645.0</v>
      </c>
      <c r="H9" s="1">
        <v>412.0</v>
      </c>
      <c r="I9" s="8">
        <v>1042.8276699029127</v>
      </c>
      <c r="J9" s="1">
        <v>0.0</v>
      </c>
      <c r="K9" s="8">
        <v>0.0</v>
      </c>
      <c r="L9" s="1">
        <v>200.0</v>
      </c>
      <c r="M9" s="8">
        <v>0.19178624213013068</v>
      </c>
      <c r="N9" s="1">
        <v>10454.0</v>
      </c>
      <c r="O9" s="8">
        <v>10.02466687614193</v>
      </c>
      <c r="P9" s="1">
        <v>5.0</v>
      </c>
      <c r="Q9" s="1">
        <f t="shared" si="6"/>
        <v>824</v>
      </c>
      <c r="R9" s="1">
        <f>J9*Assumptions!$E$19</f>
        <v>0</v>
      </c>
      <c r="S9" s="3">
        <f>G9*Assumptions!$E$10*Assumptions!$E$6+J9*Assumptions!$E$7+M9*Assumptions!$E$13*Assumptions!$E$6+N9*Assumptions!$E$12*Assumptions!$E$6+Q9*Assumptions!$E$15*Assumptions!$E$6</f>
        <v>329412.4018</v>
      </c>
      <c r="T9" s="3">
        <f>R9*Assumptions!$E$20-H9*Assumptions!$E$21</f>
        <v>-82400</v>
      </c>
      <c r="U9" s="3">
        <f t="shared" si="7"/>
        <v>247012.4018</v>
      </c>
      <c r="V9" s="4">
        <f>U9/H9/Assumptions!$E$21</f>
        <v>2.997723323</v>
      </c>
      <c r="W9" s="3">
        <f t="shared" si="8"/>
        <v>0</v>
      </c>
    </row>
    <row r="10" ht="15.75" customHeight="1">
      <c r="A10" s="1" t="s">
        <v>32</v>
      </c>
      <c r="B10" s="1" t="s">
        <v>33</v>
      </c>
      <c r="D10" s="1">
        <v>232.0</v>
      </c>
      <c r="E10" s="1" t="s">
        <v>36</v>
      </c>
      <c r="F10" s="5" t="s">
        <v>31</v>
      </c>
      <c r="G10" s="1">
        <v>623203.0</v>
      </c>
      <c r="H10" s="1">
        <v>392.0</v>
      </c>
      <c r="I10" s="8">
        <v>1589.8035714285713</v>
      </c>
      <c r="J10" s="1">
        <v>0.0</v>
      </c>
      <c r="K10" s="8">
        <v>0.0</v>
      </c>
      <c r="L10" s="1">
        <v>236.0</v>
      </c>
      <c r="M10" s="8">
        <v>0.14844601197362658</v>
      </c>
      <c r="N10" s="1">
        <v>9730.0</v>
      </c>
      <c r="O10" s="8">
        <v>6.120252951285536</v>
      </c>
      <c r="P10" s="1">
        <v>5.0</v>
      </c>
      <c r="Q10" s="1">
        <f t="shared" si="6"/>
        <v>784</v>
      </c>
      <c r="R10" s="1">
        <f>J10*Assumptions!$E$19</f>
        <v>0</v>
      </c>
      <c r="S10" s="3">
        <f>G10*Assumptions!$E$10*Assumptions!$E$6+J10*Assumptions!$E$7+M10*Assumptions!$E$13*Assumptions!$E$6+N10*Assumptions!$E$12*Assumptions!$E$6+Q10*Assumptions!$E$15*Assumptions!$E$6</f>
        <v>321407.6098</v>
      </c>
      <c r="T10" s="3">
        <f>R10*Assumptions!$E$20-H10*Assumptions!$E$21</f>
        <v>-78400</v>
      </c>
      <c r="U10" s="3">
        <f t="shared" si="7"/>
        <v>243007.6098</v>
      </c>
      <c r="V10" s="4">
        <f>U10/H10/Assumptions!$E$21</f>
        <v>3.09958686</v>
      </c>
      <c r="W10" s="3">
        <f t="shared" si="8"/>
        <v>0</v>
      </c>
    </row>
    <row r="11" ht="15.75" customHeight="1">
      <c r="A11" s="1" t="s">
        <v>32</v>
      </c>
      <c r="B11" s="1" t="s">
        <v>33</v>
      </c>
      <c r="D11" s="1">
        <v>243.0</v>
      </c>
      <c r="E11" s="1" t="s">
        <v>37</v>
      </c>
      <c r="F11" s="5" t="s">
        <v>31</v>
      </c>
      <c r="G11" s="1">
        <v>42431.0</v>
      </c>
      <c r="H11" s="1">
        <v>117.0</v>
      </c>
      <c r="I11" s="8">
        <v>362.65811965811963</v>
      </c>
      <c r="J11" s="1">
        <v>0.0</v>
      </c>
      <c r="K11" s="8">
        <v>0.0</v>
      </c>
      <c r="L11" s="1">
        <v>32.0</v>
      </c>
      <c r="M11" s="8">
        <v>0.08823737361834509</v>
      </c>
      <c r="N11" s="1">
        <v>1500.0</v>
      </c>
      <c r="O11" s="8">
        <v>4.136126888359926</v>
      </c>
      <c r="P11" s="1">
        <v>9.0</v>
      </c>
      <c r="Q11" s="1">
        <f t="shared" si="6"/>
        <v>234</v>
      </c>
      <c r="R11" s="1">
        <f>J11*Assumptions!$E$19</f>
        <v>0</v>
      </c>
      <c r="S11" s="3">
        <f>G11*Assumptions!$E$10*Assumptions!$E$6+J11*Assumptions!$E$7+M11*Assumptions!$E$13*Assumptions!$E$6+N11*Assumptions!$E$12*Assumptions!$E$6+Q11*Assumptions!$E$15*Assumptions!$E$6</f>
        <v>51856.34937</v>
      </c>
      <c r="T11" s="3">
        <f>R11*Assumptions!$E$20-H11*Assumptions!$E$21</f>
        <v>-23400</v>
      </c>
      <c r="U11" s="3">
        <f t="shared" si="7"/>
        <v>28456.34937</v>
      </c>
      <c r="V11" s="4">
        <f>U11/H11/Assumptions!$E$21</f>
        <v>1.216083306</v>
      </c>
      <c r="W11" s="3">
        <f t="shared" si="8"/>
        <v>0</v>
      </c>
    </row>
    <row r="12" ht="15.75" customHeight="1">
      <c r="A12" s="1" t="s">
        <v>32</v>
      </c>
      <c r="B12" s="1" t="s">
        <v>33</v>
      </c>
      <c r="D12" s="1">
        <v>230.0</v>
      </c>
      <c r="E12" s="1" t="s">
        <v>38</v>
      </c>
      <c r="F12" s="5" t="s">
        <v>39</v>
      </c>
      <c r="G12" s="1">
        <v>966.0</v>
      </c>
      <c r="H12" s="1">
        <v>2.0</v>
      </c>
      <c r="I12" s="8">
        <v>483.0</v>
      </c>
      <c r="J12" s="1">
        <v>0.0</v>
      </c>
      <c r="K12" s="8">
        <v>0.0</v>
      </c>
      <c r="L12" s="1">
        <v>0.0</v>
      </c>
      <c r="M12" s="8">
        <v>0.0</v>
      </c>
      <c r="N12" s="1">
        <v>0.0</v>
      </c>
      <c r="O12" s="8">
        <v>0.0</v>
      </c>
      <c r="P12" s="1">
        <v>1.0</v>
      </c>
      <c r="Q12" s="1">
        <f t="shared" si="6"/>
        <v>4</v>
      </c>
      <c r="R12" s="1">
        <f>J12*Assumptions!$E$19</f>
        <v>0</v>
      </c>
      <c r="S12" s="3">
        <f>G12*Assumptions!$E$10*Assumptions!$E$6+J12*Assumptions!$E$7+M12*Assumptions!$E$13*Assumptions!$E$6+N12*Assumptions!$E$12*Assumptions!$E$6+Q12*Assumptions!$E$15*Assumptions!$E$6</f>
        <v>260.375</v>
      </c>
      <c r="T12" s="3">
        <f>R12*Assumptions!$E$20-H12*Assumptions!$E$21</f>
        <v>-400</v>
      </c>
      <c r="U12" s="3">
        <f t="shared" si="7"/>
        <v>-139.625</v>
      </c>
      <c r="V12" s="4">
        <f>U12/H12/Assumptions!$E$21</f>
        <v>-0.3490625</v>
      </c>
      <c r="W12" s="3">
        <f t="shared" si="8"/>
        <v>0</v>
      </c>
    </row>
    <row r="13" ht="15.75" customHeight="1">
      <c r="A13" s="1" t="s">
        <v>40</v>
      </c>
      <c r="B13" s="1" t="s">
        <v>41</v>
      </c>
      <c r="D13" s="1">
        <v>370.0</v>
      </c>
      <c r="E13" s="1" t="s">
        <v>42</v>
      </c>
      <c r="F13" s="5" t="s">
        <v>31</v>
      </c>
      <c r="G13" s="1">
        <v>83129.0</v>
      </c>
      <c r="H13" s="1">
        <v>79.0</v>
      </c>
      <c r="I13" s="8">
        <v>1052.26582278481</v>
      </c>
      <c r="J13" s="1">
        <v>88.0</v>
      </c>
      <c r="K13" s="8">
        <v>1.1139240506329113</v>
      </c>
      <c r="L13" s="1">
        <v>37.0</v>
      </c>
      <c r="M13" s="8">
        <v>0.035162217757942475</v>
      </c>
      <c r="N13" s="1">
        <v>335.0</v>
      </c>
      <c r="O13" s="8">
        <v>0.3183606202408305</v>
      </c>
      <c r="P13" s="1">
        <v>1.0</v>
      </c>
      <c r="Q13" s="1">
        <f t="shared" si="6"/>
        <v>158</v>
      </c>
      <c r="R13" s="1">
        <f>J13*Assumptions!$E$19</f>
        <v>22.88</v>
      </c>
      <c r="S13" s="3">
        <f>G13*Assumptions!$E$10*Assumptions!$E$6+J13*Assumptions!$E$7+M13*Assumptions!$E$13*Assumptions!$E$6+N13*Assumptions!$E$12*Assumptions!$E$6+Q13*Assumptions!$E$15*Assumptions!$E$6</f>
        <v>47520.32061</v>
      </c>
      <c r="T13" s="3">
        <f>R13*Assumptions!$E$20-H13*Assumptions!$E$21</f>
        <v>7080</v>
      </c>
      <c r="U13" s="3">
        <f t="shared" si="7"/>
        <v>54600.32061</v>
      </c>
      <c r="V13" s="4">
        <f>U13/H13/Assumptions!$E$21</f>
        <v>3.455716494</v>
      </c>
      <c r="W13" s="3">
        <f t="shared" si="8"/>
        <v>0.2896202532</v>
      </c>
    </row>
    <row r="14" ht="15.75" customHeight="1">
      <c r="A14" s="1" t="s">
        <v>43</v>
      </c>
      <c r="B14" s="1" t="s">
        <v>44</v>
      </c>
      <c r="D14" s="1">
        <v>309.0</v>
      </c>
      <c r="E14" s="1" t="s">
        <v>45</v>
      </c>
      <c r="F14" s="9" t="s">
        <v>31</v>
      </c>
      <c r="G14" s="1">
        <v>82580.0</v>
      </c>
      <c r="H14" s="1">
        <v>30.0</v>
      </c>
      <c r="I14" s="8">
        <v>2752.6666666666665</v>
      </c>
      <c r="J14" s="1">
        <v>44.0</v>
      </c>
      <c r="K14" s="8">
        <v>1.4666666666666666</v>
      </c>
      <c r="L14" s="1">
        <v>12.0</v>
      </c>
      <c r="M14" s="8">
        <v>0.004359409057883265</v>
      </c>
      <c r="N14" s="1">
        <v>72.0</v>
      </c>
      <c r="O14" s="8">
        <v>0.02615645434729959</v>
      </c>
      <c r="P14" s="1">
        <v>2.0</v>
      </c>
      <c r="Q14" s="1">
        <f t="shared" si="6"/>
        <v>60</v>
      </c>
      <c r="R14" s="1">
        <f>J14*Assumptions!$E$19</f>
        <v>11.44</v>
      </c>
      <c r="S14" s="3">
        <f>G14*Assumptions!$E$10*Assumptions!$E$6+J14*Assumptions!$E$7+M14*Assumptions!$E$13*Assumptions!$E$6+N14*Assumptions!$E$12*Assumptions!$E$6+Q14*Assumptions!$E$15*Assumptions!$E$6</f>
        <v>22985.46797</v>
      </c>
      <c r="T14" s="3">
        <f>R14*Assumptions!$E$20-H14*Assumptions!$E$21</f>
        <v>5440</v>
      </c>
      <c r="U14" s="3">
        <f t="shared" si="7"/>
        <v>28425.46797</v>
      </c>
      <c r="V14" s="4">
        <f>U14/H14/Assumptions!$E$21</f>
        <v>4.737577995</v>
      </c>
      <c r="W14" s="3">
        <f t="shared" si="8"/>
        <v>0.3813333333</v>
      </c>
    </row>
    <row r="15" ht="15.75" customHeight="1">
      <c r="A15" s="1" t="s">
        <v>43</v>
      </c>
      <c r="B15" s="1" t="s">
        <v>44</v>
      </c>
      <c r="D15" s="1">
        <v>339.0</v>
      </c>
      <c r="E15" s="1" t="s">
        <v>46</v>
      </c>
      <c r="F15" s="5" t="s">
        <v>31</v>
      </c>
      <c r="G15" s="1">
        <v>52308.0</v>
      </c>
      <c r="H15" s="1">
        <v>16.0</v>
      </c>
      <c r="I15" s="8">
        <v>3269.25</v>
      </c>
      <c r="J15" s="1">
        <v>26.0</v>
      </c>
      <c r="K15" s="8">
        <v>1.625</v>
      </c>
      <c r="L15" s="1">
        <v>19.0</v>
      </c>
      <c r="M15" s="8">
        <v>0.00581173051923224</v>
      </c>
      <c r="N15" s="1">
        <v>69.0</v>
      </c>
      <c r="O15" s="8">
        <v>0.021105758201422343</v>
      </c>
      <c r="P15" s="1">
        <v>1.0</v>
      </c>
      <c r="Q15" s="1">
        <f t="shared" si="6"/>
        <v>32</v>
      </c>
      <c r="R15" s="1">
        <f>J15*Assumptions!$E$19</f>
        <v>6.76</v>
      </c>
      <c r="S15" s="3">
        <f>G15*Assumptions!$E$10*Assumptions!$E$6+J15*Assumptions!$E$7+M15*Assumptions!$E$13*Assumptions!$E$6+N15*Assumptions!$E$12*Assumptions!$E$6+Q15*Assumptions!$E$15*Assumptions!$E$6</f>
        <v>14290.54059</v>
      </c>
      <c r="T15" s="3">
        <f>R15*Assumptions!$E$20-H15*Assumptions!$E$21</f>
        <v>3560</v>
      </c>
      <c r="U15" s="3">
        <f t="shared" si="7"/>
        <v>17850.54059</v>
      </c>
      <c r="V15" s="4">
        <f>U15/H15/Assumptions!$E$21</f>
        <v>5.578293933</v>
      </c>
      <c r="W15" s="3">
        <f t="shared" si="8"/>
        <v>0.4225</v>
      </c>
    </row>
    <row r="16" ht="15.75" customHeight="1">
      <c r="A16" s="1" t="s">
        <v>47</v>
      </c>
      <c r="B16" s="1" t="s">
        <v>48</v>
      </c>
      <c r="D16" s="1">
        <v>322.0</v>
      </c>
      <c r="E16" s="1" t="s">
        <v>49</v>
      </c>
      <c r="F16" s="5" t="s">
        <v>50</v>
      </c>
      <c r="G16" s="1">
        <v>10538.0</v>
      </c>
      <c r="H16" s="1">
        <v>10.0</v>
      </c>
      <c r="I16" s="8">
        <v>1053.8</v>
      </c>
      <c r="J16" s="1">
        <v>0.0</v>
      </c>
      <c r="K16" s="8">
        <v>0.0</v>
      </c>
      <c r="L16" s="1">
        <v>4.0</v>
      </c>
      <c r="M16" s="8">
        <v>0.0037957866767887646</v>
      </c>
      <c r="N16" s="1">
        <v>54.0</v>
      </c>
      <c r="O16" s="8">
        <v>0.05124312013664832</v>
      </c>
      <c r="P16" s="1">
        <v>1.0</v>
      </c>
      <c r="Q16" s="1">
        <f t="shared" si="6"/>
        <v>20</v>
      </c>
      <c r="R16" s="1">
        <f>J16*Assumptions!$E$19</f>
        <v>0</v>
      </c>
      <c r="S16" s="10">
        <f>G16*Assumptions!$E$10*Assumptions!$E$6+J16*Assumptions!$E$7+M16*Assumptions!$E$13*Assumptions!$E$6+N16*Assumptions!$E$12*Assumptions!$E$6+Q16*Assumptions!$E$15*Assumptions!$E$6</f>
        <v>3008.814789</v>
      </c>
      <c r="T16" s="10">
        <f>R16*Assumptions!$E$20-H16*Assumptions!$E$21</f>
        <v>-2000</v>
      </c>
      <c r="U16" s="10">
        <f t="shared" si="7"/>
        <v>1008.814789</v>
      </c>
      <c r="V16" s="4">
        <f>U16/H16/Assumptions!$E$21</f>
        <v>0.5044073947</v>
      </c>
      <c r="W16" s="3">
        <f t="shared" si="8"/>
        <v>0</v>
      </c>
    </row>
    <row r="17" ht="15.75" customHeight="1">
      <c r="A17" s="1" t="s">
        <v>51</v>
      </c>
      <c r="B17" s="1" t="s">
        <v>52</v>
      </c>
      <c r="D17" s="1">
        <v>182.0</v>
      </c>
      <c r="E17" s="1" t="s">
        <v>53</v>
      </c>
      <c r="F17" s="5" t="s">
        <v>31</v>
      </c>
      <c r="G17" s="1">
        <v>41814.0</v>
      </c>
      <c r="H17" s="1">
        <v>124.0</v>
      </c>
      <c r="I17" s="8">
        <v>337.2096774193548</v>
      </c>
      <c r="J17" s="1">
        <v>133.0</v>
      </c>
      <c r="K17" s="8">
        <v>1.0725806451612903</v>
      </c>
      <c r="L17" s="1">
        <v>20.0</v>
      </c>
      <c r="M17" s="8">
        <v>0.05931027885397236</v>
      </c>
      <c r="N17" s="1">
        <v>1357.0</v>
      </c>
      <c r="O17" s="8">
        <v>4.024202420242024</v>
      </c>
      <c r="P17" s="1">
        <v>6.0</v>
      </c>
      <c r="Q17" s="1">
        <f t="shared" si="6"/>
        <v>248</v>
      </c>
      <c r="R17" s="1">
        <f>J17*Assumptions!$E$19</f>
        <v>34.58</v>
      </c>
      <c r="S17" s="3">
        <f>G17*Assumptions!$E$10*Assumptions!$E$6+J17*Assumptions!$E$7+M17*Assumptions!$E$13*Assumptions!$E$6+N17*Assumptions!$E$12*Assumptions!$E$6+Q17*Assumptions!$E$15*Assumptions!$E$6</f>
        <v>88309.34051</v>
      </c>
      <c r="T17" s="3">
        <f>R17*Assumptions!$E$20-H17*Assumptions!$E$21</f>
        <v>9780</v>
      </c>
      <c r="U17" s="3">
        <f t="shared" si="7"/>
        <v>98089.34051</v>
      </c>
      <c r="V17" s="4">
        <f>U17/H17/Assumptions!$E$21</f>
        <v>3.955215343</v>
      </c>
      <c r="W17" s="3">
        <f t="shared" si="8"/>
        <v>0.2788709677</v>
      </c>
    </row>
    <row r="18" ht="15.75" customHeight="1">
      <c r="A18" s="1" t="s">
        <v>54</v>
      </c>
      <c r="B18" s="1" t="s">
        <v>55</v>
      </c>
      <c r="D18" s="1">
        <v>86.0</v>
      </c>
      <c r="E18" s="1" t="s">
        <v>56</v>
      </c>
      <c r="F18" s="5" t="s">
        <v>39</v>
      </c>
      <c r="G18" s="1">
        <v>369041.0</v>
      </c>
      <c r="H18" s="1">
        <v>275.0</v>
      </c>
      <c r="I18" s="8">
        <v>1341.9672727272728</v>
      </c>
      <c r="J18" s="1">
        <v>3559.0</v>
      </c>
      <c r="K18" s="8">
        <v>12.941818181818181</v>
      </c>
      <c r="L18" s="1">
        <v>1074.0</v>
      </c>
      <c r="M18" s="8">
        <v>0.8003175798894974</v>
      </c>
      <c r="N18" s="1">
        <v>5584.0</v>
      </c>
      <c r="O18" s="8">
        <v>4.161055275701074</v>
      </c>
      <c r="P18" s="1">
        <v>2.0</v>
      </c>
      <c r="Q18" s="1">
        <f t="shared" si="6"/>
        <v>550</v>
      </c>
      <c r="R18" s="1">
        <f>J18*Assumptions!$E$19</f>
        <v>925.34</v>
      </c>
      <c r="S18" s="3">
        <f>G18*Assumptions!$E$10*Assumptions!$E$6+J18*Assumptions!$E$7+M18*Assumptions!$E$13*Assumptions!$E$6+N18*Assumptions!$E$12*Assumptions!$E$6+Q18*Assumptions!$E$15*Assumptions!$E$6</f>
        <v>1243669.078</v>
      </c>
      <c r="T18" s="3">
        <f>R18*Assumptions!$E$20-H18*Assumptions!$E$21</f>
        <v>870340</v>
      </c>
      <c r="U18" s="3">
        <f t="shared" si="7"/>
        <v>2114009.078</v>
      </c>
      <c r="V18" s="4">
        <f>U18/H18/Assumptions!$E$21</f>
        <v>38.4365287</v>
      </c>
      <c r="W18" s="3">
        <f t="shared" si="8"/>
        <v>3.364872727</v>
      </c>
    </row>
    <row r="19" ht="15.75" customHeight="1">
      <c r="A19" s="1" t="s">
        <v>54</v>
      </c>
      <c r="B19" s="1" t="s">
        <v>55</v>
      </c>
      <c r="D19" s="1">
        <v>139.0</v>
      </c>
      <c r="E19" s="1" t="s">
        <v>57</v>
      </c>
      <c r="F19" s="5" t="s">
        <v>39</v>
      </c>
      <c r="G19" s="1">
        <v>150088.0</v>
      </c>
      <c r="H19" s="1">
        <v>146.0</v>
      </c>
      <c r="I19" s="8">
        <v>1028.0</v>
      </c>
      <c r="J19" s="1">
        <v>372.0</v>
      </c>
      <c r="K19" s="8">
        <v>2.547945205479452</v>
      </c>
      <c r="L19" s="1">
        <v>22.0</v>
      </c>
      <c r="M19" s="8">
        <v>0.021400778210116732</v>
      </c>
      <c r="N19" s="1">
        <v>411.0</v>
      </c>
      <c r="O19" s="8">
        <v>0.39980544747081714</v>
      </c>
      <c r="P19" s="1">
        <v>3.0</v>
      </c>
      <c r="Q19" s="1">
        <f t="shared" si="6"/>
        <v>292</v>
      </c>
      <c r="R19" s="1">
        <f>J19*Assumptions!$E$19</f>
        <v>96.72</v>
      </c>
      <c r="S19" s="3">
        <f>G19*Assumptions!$E$10*Assumptions!$E$6+J19*Assumptions!$E$7+M19*Assumptions!$E$13*Assumptions!$E$6+N19*Assumptions!$E$12*Assumptions!$E$6+Q19*Assumptions!$E$15*Assumptions!$E$6</f>
        <v>144368.57</v>
      </c>
      <c r="T19" s="3">
        <f>R19*Assumptions!$E$20-H19*Assumptions!$E$21</f>
        <v>67520</v>
      </c>
      <c r="U19" s="3">
        <f t="shared" si="7"/>
        <v>211888.57</v>
      </c>
      <c r="V19" s="4">
        <f>U19/H19/Assumptions!$E$21</f>
        <v>7.256457878</v>
      </c>
      <c r="W19" s="3">
        <f t="shared" si="8"/>
        <v>0.6624657534</v>
      </c>
    </row>
    <row r="20" ht="15.75" customHeight="1">
      <c r="A20" s="1" t="s">
        <v>54</v>
      </c>
      <c r="B20" s="1" t="s">
        <v>55</v>
      </c>
      <c r="D20" s="1">
        <v>70.0</v>
      </c>
      <c r="E20" s="1" t="s">
        <v>58</v>
      </c>
      <c r="F20" s="5" t="s">
        <v>39</v>
      </c>
      <c r="G20" s="1">
        <v>213340.0</v>
      </c>
      <c r="H20" s="1">
        <v>128.0</v>
      </c>
      <c r="I20" s="8">
        <v>1666.71875</v>
      </c>
      <c r="J20" s="1">
        <v>286.0</v>
      </c>
      <c r="K20" s="8">
        <v>2.234375</v>
      </c>
      <c r="L20" s="1">
        <v>107.0</v>
      </c>
      <c r="M20" s="8">
        <v>0.06419799381269335</v>
      </c>
      <c r="N20" s="1">
        <v>1342.0</v>
      </c>
      <c r="O20" s="8">
        <v>0.8051748382863035</v>
      </c>
      <c r="P20" s="1">
        <v>3.0</v>
      </c>
      <c r="Q20" s="1">
        <f t="shared" si="6"/>
        <v>256</v>
      </c>
      <c r="R20" s="1">
        <f>J20*Assumptions!$E$19</f>
        <v>74.36</v>
      </c>
      <c r="S20" s="3">
        <f>G20*Assumptions!$E$10*Assumptions!$E$6+J20*Assumptions!$E$7+M20*Assumptions!$E$13*Assumptions!$E$6+N20*Assumptions!$E$12*Assumptions!$E$6+Q20*Assumptions!$E$15*Assumptions!$E$6</f>
        <v>144342.9599</v>
      </c>
      <c r="T20" s="3">
        <f>R20*Assumptions!$E$20-H20*Assumptions!$E$21</f>
        <v>48760</v>
      </c>
      <c r="U20" s="3">
        <f t="shared" si="7"/>
        <v>193102.9599</v>
      </c>
      <c r="V20" s="4">
        <f>U20/H20/Assumptions!$E$21</f>
        <v>7.543084371</v>
      </c>
      <c r="W20" s="3">
        <f t="shared" si="8"/>
        <v>0.5809375</v>
      </c>
    </row>
    <row r="21" ht="15.75" customHeight="1">
      <c r="A21" s="1" t="s">
        <v>54</v>
      </c>
      <c r="B21" s="1" t="s">
        <v>55</v>
      </c>
      <c r="D21" s="1">
        <v>82.0</v>
      </c>
      <c r="E21" s="1" t="s">
        <v>59</v>
      </c>
      <c r="F21" s="5" t="s">
        <v>39</v>
      </c>
      <c r="G21" s="1">
        <v>182265.0</v>
      </c>
      <c r="H21" s="1">
        <v>74.0</v>
      </c>
      <c r="I21" s="8">
        <v>2463.0405405405404</v>
      </c>
      <c r="J21" s="1">
        <v>404.0</v>
      </c>
      <c r="K21" s="8">
        <v>5.45945945945946</v>
      </c>
      <c r="L21" s="1">
        <v>331.0</v>
      </c>
      <c r="M21" s="8">
        <v>0.13438674457520644</v>
      </c>
      <c r="N21" s="1">
        <v>2271.0</v>
      </c>
      <c r="O21" s="8">
        <v>0.9220311085507367</v>
      </c>
      <c r="P21" s="1">
        <v>3.0</v>
      </c>
      <c r="Q21" s="1">
        <f t="shared" si="6"/>
        <v>148</v>
      </c>
      <c r="R21" s="1">
        <f>J21*Assumptions!$E$19</f>
        <v>105.04</v>
      </c>
      <c r="S21" s="3">
        <f>G21*Assumptions!$E$10*Assumptions!$E$6+J21*Assumptions!$E$7+M21*Assumptions!$E$13*Assumptions!$E$6+N21*Assumptions!$E$12*Assumptions!$E$6+Q21*Assumptions!$E$15*Assumptions!$E$6</f>
        <v>195157.2818</v>
      </c>
      <c r="T21" s="3">
        <f>R21*Assumptions!$E$20-H21*Assumptions!$E$21</f>
        <v>90240</v>
      </c>
      <c r="U21" s="3">
        <f t="shared" si="7"/>
        <v>285397.2818</v>
      </c>
      <c r="V21" s="4">
        <f>U21/H21/Assumptions!$E$21</f>
        <v>19.28360012</v>
      </c>
      <c r="W21" s="3">
        <f t="shared" si="8"/>
        <v>1.419459459</v>
      </c>
    </row>
    <row r="22" ht="15.75" customHeight="1">
      <c r="A22" s="1" t="s">
        <v>54</v>
      </c>
      <c r="B22" s="1" t="s">
        <v>55</v>
      </c>
      <c r="D22" s="1">
        <v>75.0</v>
      </c>
      <c r="E22" s="1" t="s">
        <v>60</v>
      </c>
      <c r="F22" s="5" t="s">
        <v>39</v>
      </c>
      <c r="G22" s="1">
        <v>111280.0</v>
      </c>
      <c r="H22" s="1">
        <v>62.0</v>
      </c>
      <c r="I22" s="8">
        <v>1794.8387096774193</v>
      </c>
      <c r="J22" s="1">
        <v>27.0</v>
      </c>
      <c r="K22" s="8">
        <v>0.43548387096774194</v>
      </c>
      <c r="L22" s="1">
        <v>513.0</v>
      </c>
      <c r="M22" s="8">
        <v>0.2858195542774982</v>
      </c>
      <c r="N22" s="1">
        <v>2113.0</v>
      </c>
      <c r="O22" s="8">
        <v>1.1772645578720347</v>
      </c>
      <c r="P22" s="1">
        <v>1.0</v>
      </c>
      <c r="Q22" s="1">
        <f t="shared" si="6"/>
        <v>124</v>
      </c>
      <c r="R22" s="1">
        <f>J22*Assumptions!$E$19</f>
        <v>7.02</v>
      </c>
      <c r="S22" s="3">
        <f>G22*Assumptions!$E$10*Assumptions!$E$6+J22*Assumptions!$E$7+M22*Assumptions!$E$13*Assumptions!$E$6+N22*Assumptions!$E$12*Assumptions!$E$6+Q22*Assumptions!$E$15*Assumptions!$E$6</f>
        <v>73986.29098</v>
      </c>
      <c r="T22" s="3">
        <f>R22*Assumptions!$E$20-H22*Assumptions!$E$21</f>
        <v>-5380</v>
      </c>
      <c r="U22" s="3">
        <f t="shared" si="7"/>
        <v>68606.29098</v>
      </c>
      <c r="V22" s="4">
        <f>U22/H22/Assumptions!$E$21</f>
        <v>5.532765401</v>
      </c>
      <c r="W22" s="3">
        <f t="shared" si="8"/>
        <v>0.1132258065</v>
      </c>
    </row>
    <row r="23" ht="15.75" customHeight="1">
      <c r="A23" s="1" t="s">
        <v>54</v>
      </c>
      <c r="B23" s="1" t="s">
        <v>55</v>
      </c>
      <c r="D23" s="1">
        <v>88.0</v>
      </c>
      <c r="E23" s="1" t="s">
        <v>61</v>
      </c>
      <c r="F23" s="5" t="s">
        <v>39</v>
      </c>
      <c r="G23" s="1">
        <v>147537.0</v>
      </c>
      <c r="H23" s="1">
        <v>53.0</v>
      </c>
      <c r="I23" s="8">
        <v>2783.7169811320755</v>
      </c>
      <c r="J23" s="1">
        <v>159.0</v>
      </c>
      <c r="K23" s="8">
        <v>3.0</v>
      </c>
      <c r="L23" s="1">
        <v>31.0</v>
      </c>
      <c r="M23" s="8">
        <v>0.011136189566007171</v>
      </c>
      <c r="N23" s="1">
        <v>815.0</v>
      </c>
      <c r="O23" s="8">
        <v>0.2927740160095434</v>
      </c>
      <c r="P23" s="1">
        <v>1.0</v>
      </c>
      <c r="Q23" s="1">
        <f t="shared" si="6"/>
        <v>106</v>
      </c>
      <c r="R23" s="1">
        <f>J23*Assumptions!$E$19</f>
        <v>41.34</v>
      </c>
      <c r="S23" s="3">
        <f>G23*Assumptions!$E$10*Assumptions!$E$6+J23*Assumptions!$E$7+M23*Assumptions!$E$13*Assumptions!$E$6+N23*Assumptions!$E$12*Assumptions!$E$6+Q23*Assumptions!$E$15*Assumptions!$E$6</f>
        <v>81960.61931</v>
      </c>
      <c r="T23" s="3">
        <f>R23*Assumptions!$E$20-H23*Assumptions!$E$21</f>
        <v>30740</v>
      </c>
      <c r="U23" s="3">
        <f t="shared" si="7"/>
        <v>112700.6193</v>
      </c>
      <c r="V23" s="4">
        <f>U23/H23/Assumptions!$E$21</f>
        <v>10.6321339</v>
      </c>
      <c r="W23" s="3">
        <f t="shared" si="8"/>
        <v>0.78</v>
      </c>
    </row>
    <row r="24" ht="15.75" customHeight="1">
      <c r="A24" s="1" t="s">
        <v>54</v>
      </c>
      <c r="B24" s="1" t="s">
        <v>55</v>
      </c>
      <c r="D24" s="1">
        <v>92.0</v>
      </c>
      <c r="E24" s="1" t="s">
        <v>62</v>
      </c>
      <c r="F24" s="5" t="s">
        <v>39</v>
      </c>
      <c r="G24" s="1">
        <v>74325.0</v>
      </c>
      <c r="H24" s="1">
        <v>44.0</v>
      </c>
      <c r="I24" s="8">
        <v>1689.2045454545455</v>
      </c>
      <c r="J24" s="1">
        <v>194.0</v>
      </c>
      <c r="K24" s="8">
        <v>4.409090909090909</v>
      </c>
      <c r="L24" s="1">
        <v>196.0</v>
      </c>
      <c r="M24" s="8">
        <v>0.1160309451732257</v>
      </c>
      <c r="N24" s="1">
        <v>1041.0</v>
      </c>
      <c r="O24" s="8">
        <v>0.6162663975782038</v>
      </c>
      <c r="P24" s="1">
        <v>4.0</v>
      </c>
      <c r="Q24" s="1">
        <f t="shared" si="6"/>
        <v>88</v>
      </c>
      <c r="R24" s="1">
        <f>J24*Assumptions!$E$19</f>
        <v>50.44</v>
      </c>
      <c r="S24" s="3">
        <f>G24*Assumptions!$E$10*Assumptions!$E$6+J24*Assumptions!$E$7+M24*Assumptions!$E$13*Assumptions!$E$6+N24*Assumptions!$E$12*Assumptions!$E$6+Q24*Assumptions!$E$15*Assumptions!$E$6</f>
        <v>92500.11405</v>
      </c>
      <c r="T24" s="3">
        <f>R24*Assumptions!$E$20-H24*Assumptions!$E$21</f>
        <v>41640</v>
      </c>
      <c r="U24" s="3">
        <f t="shared" si="7"/>
        <v>134140.114</v>
      </c>
      <c r="V24" s="4">
        <f>U24/H24/Assumptions!$E$21</f>
        <v>15.24319478</v>
      </c>
      <c r="W24" s="3">
        <f t="shared" si="8"/>
        <v>1.146363636</v>
      </c>
    </row>
    <row r="25" ht="15.75" customHeight="1">
      <c r="A25" s="1" t="s">
        <v>54</v>
      </c>
      <c r="B25" s="1" t="s">
        <v>55</v>
      </c>
      <c r="D25" s="1">
        <v>95.0</v>
      </c>
      <c r="E25" s="1" t="s">
        <v>63</v>
      </c>
      <c r="F25" s="5" t="s">
        <v>39</v>
      </c>
      <c r="G25" s="1">
        <v>60435.0</v>
      </c>
      <c r="H25" s="1">
        <v>30.0</v>
      </c>
      <c r="I25" s="8">
        <v>2014.5</v>
      </c>
      <c r="J25" s="1">
        <v>0.0</v>
      </c>
      <c r="K25" s="8">
        <v>0.0</v>
      </c>
      <c r="L25" s="1">
        <v>35.0</v>
      </c>
      <c r="M25" s="8">
        <v>0.01737403822288409</v>
      </c>
      <c r="N25" s="1">
        <v>179.0</v>
      </c>
      <c r="O25" s="8">
        <v>0.08885579548275006</v>
      </c>
      <c r="P25" s="1">
        <v>1.0</v>
      </c>
      <c r="Q25" s="1">
        <f t="shared" si="6"/>
        <v>60</v>
      </c>
      <c r="R25" s="1">
        <f>J25*Assumptions!$E$19</f>
        <v>0</v>
      </c>
      <c r="S25" s="3">
        <f>G25*Assumptions!$E$10*Assumptions!$E$6+J25*Assumptions!$E$7+M25*Assumptions!$E$13*Assumptions!$E$6+N25*Assumptions!$E$12*Assumptions!$E$6+Q25*Assumptions!$E$15*Assumptions!$E$6</f>
        <v>11253.0562</v>
      </c>
      <c r="T25" s="3">
        <f>R25*Assumptions!$E$20-H25*Assumptions!$E$21</f>
        <v>-6000</v>
      </c>
      <c r="U25" s="3">
        <f t="shared" si="7"/>
        <v>5253.056202</v>
      </c>
      <c r="V25" s="4">
        <f>U25/H25/Assumptions!$E$21</f>
        <v>0.875509367</v>
      </c>
      <c r="W25" s="3">
        <f t="shared" si="8"/>
        <v>0</v>
      </c>
    </row>
    <row r="26" ht="15.75" customHeight="1">
      <c r="A26" s="1" t="s">
        <v>54</v>
      </c>
      <c r="B26" s="1" t="s">
        <v>55</v>
      </c>
      <c r="D26" s="1">
        <v>138.0</v>
      </c>
      <c r="E26" s="1" t="s">
        <v>64</v>
      </c>
      <c r="F26" s="5" t="s">
        <v>39</v>
      </c>
      <c r="G26" s="1">
        <v>43310.0</v>
      </c>
      <c r="H26" s="1">
        <v>27.0</v>
      </c>
      <c r="I26" s="8">
        <v>1604.0740740740741</v>
      </c>
      <c r="J26" s="1">
        <v>293.0</v>
      </c>
      <c r="K26" s="8">
        <v>10.851851851851851</v>
      </c>
      <c r="L26" s="1">
        <v>206.0</v>
      </c>
      <c r="M26" s="8">
        <v>0.12842299699838375</v>
      </c>
      <c r="N26" s="1">
        <v>858.0</v>
      </c>
      <c r="O26" s="8">
        <v>0.5348880166243362</v>
      </c>
      <c r="P26" s="1">
        <v>3.0</v>
      </c>
      <c r="Q26" s="1">
        <f t="shared" si="6"/>
        <v>54</v>
      </c>
      <c r="R26" s="1">
        <f>J26*Assumptions!$E$19</f>
        <v>76.18</v>
      </c>
      <c r="S26" s="3">
        <f>G26*Assumptions!$E$10*Assumptions!$E$6+J26*Assumptions!$E$7+M26*Assumptions!$E$13*Assumptions!$E$6+N26*Assumptions!$E$12*Assumptions!$E$6+Q26*Assumptions!$E$15*Assumptions!$E$6</f>
        <v>113591.2961</v>
      </c>
      <c r="T26" s="3">
        <f>R26*Assumptions!$E$20-H26*Assumptions!$E$21</f>
        <v>70780</v>
      </c>
      <c r="U26" s="3">
        <f t="shared" si="7"/>
        <v>184371.2961</v>
      </c>
      <c r="V26" s="4">
        <f>U26/H26/Assumptions!$E$21</f>
        <v>34.14283262</v>
      </c>
      <c r="W26" s="3">
        <f t="shared" si="8"/>
        <v>2.821481481</v>
      </c>
    </row>
    <row r="27" ht="15.75" customHeight="1">
      <c r="A27" s="1" t="s">
        <v>54</v>
      </c>
      <c r="B27" s="1" t="s">
        <v>55</v>
      </c>
      <c r="D27" s="1">
        <v>247.0</v>
      </c>
      <c r="E27" s="1" t="s">
        <v>65</v>
      </c>
      <c r="F27" s="5" t="s">
        <v>39</v>
      </c>
      <c r="G27" s="1">
        <v>36508.0</v>
      </c>
      <c r="H27" s="1">
        <v>21.0</v>
      </c>
      <c r="I27" s="8">
        <v>1738.4761904761904</v>
      </c>
      <c r="J27" s="1">
        <v>55.0</v>
      </c>
      <c r="K27" s="8">
        <v>2.619047619047619</v>
      </c>
      <c r="L27" s="1">
        <v>0.0</v>
      </c>
      <c r="M27" s="8">
        <v>0.0</v>
      </c>
      <c r="N27" s="1">
        <v>6.0</v>
      </c>
      <c r="O27" s="8">
        <v>0.0034512983455680948</v>
      </c>
      <c r="P27" s="1">
        <v>1.0</v>
      </c>
      <c r="Q27" s="1">
        <f t="shared" si="6"/>
        <v>42</v>
      </c>
      <c r="R27" s="1">
        <f>J27*Assumptions!$E$19</f>
        <v>14.3</v>
      </c>
      <c r="S27" s="3">
        <f>G27*Assumptions!$E$10*Assumptions!$E$6+J27*Assumptions!$E$7+M27*Assumptions!$E$13*Assumptions!$E$6+N27*Assumptions!$E$12*Assumptions!$E$6+Q27*Assumptions!$E$15*Assumptions!$E$6</f>
        <v>20811.75</v>
      </c>
      <c r="T27" s="3">
        <f>R27*Assumptions!$E$20-H27*Assumptions!$E$21</f>
        <v>10100</v>
      </c>
      <c r="U27" s="3">
        <f t="shared" si="7"/>
        <v>30911.75</v>
      </c>
      <c r="V27" s="4">
        <f>U27/H27/Assumptions!$E$21</f>
        <v>7.359940476</v>
      </c>
      <c r="W27" s="3">
        <f t="shared" si="8"/>
        <v>0.680952381</v>
      </c>
    </row>
    <row r="28" ht="15.75" customHeight="1">
      <c r="A28" s="1" t="s">
        <v>54</v>
      </c>
      <c r="B28" s="1" t="s">
        <v>55</v>
      </c>
      <c r="D28" s="1">
        <v>112.0</v>
      </c>
      <c r="E28" s="1" t="s">
        <v>66</v>
      </c>
      <c r="F28" s="5" t="s">
        <v>39</v>
      </c>
      <c r="G28" s="1">
        <v>40433.0</v>
      </c>
      <c r="H28" s="1">
        <v>14.0</v>
      </c>
      <c r="I28" s="8">
        <v>2888.0714285714284</v>
      </c>
      <c r="J28" s="1">
        <v>22.0</v>
      </c>
      <c r="K28" s="8">
        <v>1.5714285714285714</v>
      </c>
      <c r="L28" s="1">
        <v>14.0</v>
      </c>
      <c r="M28" s="8">
        <v>0.00484752553607202</v>
      </c>
      <c r="N28" s="1">
        <v>141.0</v>
      </c>
      <c r="O28" s="8">
        <v>0.04882150718472535</v>
      </c>
      <c r="P28" s="1">
        <v>4.0</v>
      </c>
      <c r="Q28" s="1">
        <f t="shared" si="6"/>
        <v>28</v>
      </c>
      <c r="R28" s="1">
        <f>J28*Assumptions!$E$19</f>
        <v>5.72</v>
      </c>
      <c r="S28" s="3">
        <f>G28*Assumptions!$E$10*Assumptions!$E$6+J28*Assumptions!$E$7+M28*Assumptions!$E$13*Assumptions!$E$6+N28*Assumptions!$E$12*Assumptions!$E$6+Q28*Assumptions!$E$15*Assumptions!$E$6</f>
        <v>13964.30488</v>
      </c>
      <c r="T28" s="3">
        <f>R28*Assumptions!$E$20-H28*Assumptions!$E$21</f>
        <v>2920</v>
      </c>
      <c r="U28" s="3">
        <f t="shared" si="7"/>
        <v>16884.30488</v>
      </c>
      <c r="V28" s="4">
        <f>U28/H28/Assumptions!$E$21</f>
        <v>6.030108884</v>
      </c>
      <c r="W28" s="3">
        <f t="shared" si="8"/>
        <v>0.4085714286</v>
      </c>
    </row>
    <row r="29" ht="15.75" customHeight="1">
      <c r="A29" s="1" t="s">
        <v>54</v>
      </c>
      <c r="B29" s="1" t="s">
        <v>55</v>
      </c>
      <c r="D29" s="1">
        <v>345.0</v>
      </c>
      <c r="E29" s="1" t="s">
        <v>67</v>
      </c>
      <c r="F29" s="5" t="s">
        <v>39</v>
      </c>
      <c r="G29" s="1">
        <v>42371.0</v>
      </c>
      <c r="H29" s="1">
        <v>12.0</v>
      </c>
      <c r="I29" s="8">
        <v>3530.9166666666665</v>
      </c>
      <c r="J29" s="1">
        <v>0.0</v>
      </c>
      <c r="K29" s="8">
        <v>0.0</v>
      </c>
      <c r="L29" s="1">
        <v>1.0</v>
      </c>
      <c r="M29" s="8">
        <v>2.8321257463831395E-4</v>
      </c>
      <c r="N29" s="1">
        <v>24.0</v>
      </c>
      <c r="O29" s="8">
        <v>0.006797101791319535</v>
      </c>
      <c r="P29" s="1">
        <v>1.0</v>
      </c>
      <c r="Q29" s="1">
        <f t="shared" si="6"/>
        <v>24</v>
      </c>
      <c r="R29" s="1">
        <f>J29*Assumptions!$E$19</f>
        <v>0</v>
      </c>
      <c r="S29" s="3">
        <f>G29*Assumptions!$E$10*Assumptions!$E$6+J29*Assumptions!$E$7+M29*Assumptions!$E$13*Assumptions!$E$6+N29*Assumptions!$E$12*Assumptions!$E$6+Q29*Assumptions!$E$15*Assumptions!$E$6</f>
        <v>4448.201661</v>
      </c>
      <c r="T29" s="3">
        <f>R29*Assumptions!$E$20-H29*Assumptions!$E$21</f>
        <v>-2400</v>
      </c>
      <c r="U29" s="3">
        <f t="shared" si="7"/>
        <v>2048.201661</v>
      </c>
      <c r="V29" s="4">
        <f>U29/H29/Assumptions!$E$21</f>
        <v>0.8534173586</v>
      </c>
      <c r="W29" s="3">
        <f t="shared" si="8"/>
        <v>0</v>
      </c>
    </row>
    <row r="30" ht="15.75" customHeight="1">
      <c r="A30" s="1" t="s">
        <v>54</v>
      </c>
      <c r="B30" s="1" t="s">
        <v>55</v>
      </c>
      <c r="D30" s="1">
        <v>68.0</v>
      </c>
      <c r="E30" s="1" t="s">
        <v>68</v>
      </c>
      <c r="F30" s="5" t="s">
        <v>39</v>
      </c>
      <c r="G30" s="1">
        <v>40739.0</v>
      </c>
      <c r="H30" s="1">
        <v>11.0</v>
      </c>
      <c r="I30" s="8">
        <v>3703.5454545454545</v>
      </c>
      <c r="J30" s="1">
        <v>457.0</v>
      </c>
      <c r="K30" s="8">
        <v>41.54545454545455</v>
      </c>
      <c r="L30" s="1">
        <v>1.0</v>
      </c>
      <c r="M30" s="8">
        <v>2.700115368565748E-4</v>
      </c>
      <c r="N30" s="1">
        <v>108.0</v>
      </c>
      <c r="O30" s="8">
        <v>0.029161245980510078</v>
      </c>
      <c r="P30" s="1">
        <v>2.0</v>
      </c>
      <c r="Q30" s="1">
        <f t="shared" si="6"/>
        <v>22</v>
      </c>
      <c r="R30" s="1">
        <f>J30*Assumptions!$E$19</f>
        <v>118.82</v>
      </c>
      <c r="S30" s="3">
        <f>G30*Assumptions!$E$10*Assumptions!$E$6+J30*Assumptions!$E$7+M30*Assumptions!$E$13*Assumptions!$E$6+N30*Assumptions!$E$12*Assumptions!$E$6+Q30*Assumptions!$E$15*Assumptions!$E$6</f>
        <v>141618.201</v>
      </c>
      <c r="T30" s="3">
        <f>R30*Assumptions!$E$20-H30*Assumptions!$E$21</f>
        <v>116620</v>
      </c>
      <c r="U30" s="3">
        <f t="shared" si="7"/>
        <v>258238.201</v>
      </c>
      <c r="V30" s="4">
        <f>U30/H30/Assumptions!$E$21</f>
        <v>117.3810005</v>
      </c>
      <c r="W30" s="3">
        <f t="shared" si="8"/>
        <v>10.80181818</v>
      </c>
    </row>
    <row r="31" ht="15.75" customHeight="1">
      <c r="A31" s="1" t="s">
        <v>54</v>
      </c>
      <c r="B31" s="1" t="s">
        <v>55</v>
      </c>
      <c r="D31" s="1">
        <v>90.0</v>
      </c>
      <c r="E31" s="1" t="s">
        <v>69</v>
      </c>
      <c r="F31" s="5" t="s">
        <v>39</v>
      </c>
      <c r="G31" s="1">
        <v>43480.0</v>
      </c>
      <c r="H31" s="1">
        <v>11.0</v>
      </c>
      <c r="I31" s="8">
        <v>3952.7272727272725</v>
      </c>
      <c r="J31" s="1">
        <v>101.0</v>
      </c>
      <c r="K31" s="8">
        <v>9.181818181818182</v>
      </c>
      <c r="L31" s="1">
        <v>5.0</v>
      </c>
      <c r="M31" s="8">
        <v>0.0012649494020239192</v>
      </c>
      <c r="N31" s="1">
        <v>61.0</v>
      </c>
      <c r="O31" s="8">
        <v>0.015432382704691813</v>
      </c>
      <c r="P31" s="1">
        <v>1.0</v>
      </c>
      <c r="Q31" s="1">
        <f t="shared" si="6"/>
        <v>22</v>
      </c>
      <c r="R31" s="1">
        <f>J31*Assumptions!$E$19</f>
        <v>26.26</v>
      </c>
      <c r="S31" s="3">
        <f>G31*Assumptions!$E$10*Assumptions!$E$6+J31*Assumptions!$E$7+M31*Assumptions!$E$13*Assumptions!$E$6+N31*Assumptions!$E$12*Assumptions!$E$6+Q31*Assumptions!$E$15*Assumptions!$E$6</f>
        <v>35238.56325</v>
      </c>
      <c r="T31" s="3">
        <f>R31*Assumptions!$E$20-H31*Assumptions!$E$21</f>
        <v>24060</v>
      </c>
      <c r="U31" s="3">
        <f t="shared" si="7"/>
        <v>59298.56325</v>
      </c>
      <c r="V31" s="4">
        <f>U31/H31/Assumptions!$E$21</f>
        <v>26.95389239</v>
      </c>
      <c r="W31" s="3">
        <f t="shared" si="8"/>
        <v>2.387272727</v>
      </c>
    </row>
    <row r="32" ht="15.75" customHeight="1">
      <c r="A32" s="1" t="s">
        <v>54</v>
      </c>
      <c r="B32" s="1" t="s">
        <v>55</v>
      </c>
      <c r="D32" s="1">
        <v>210.0</v>
      </c>
      <c r="E32" s="1" t="s">
        <v>70</v>
      </c>
      <c r="F32" s="5" t="s">
        <v>39</v>
      </c>
      <c r="G32" s="1">
        <v>29826.0</v>
      </c>
      <c r="H32" s="1">
        <v>5.0</v>
      </c>
      <c r="I32" s="8">
        <v>5965.2</v>
      </c>
      <c r="J32" s="1">
        <v>5.0</v>
      </c>
      <c r="K32" s="8">
        <v>1.0</v>
      </c>
      <c r="L32" s="1">
        <v>3.0</v>
      </c>
      <c r="M32" s="8">
        <v>5.029169181251258E-4</v>
      </c>
      <c r="N32" s="1">
        <v>19.0</v>
      </c>
      <c r="O32" s="8">
        <v>0.00318514048145913</v>
      </c>
      <c r="P32" s="1">
        <v>2.0</v>
      </c>
      <c r="Q32" s="1">
        <f t="shared" si="6"/>
        <v>10</v>
      </c>
      <c r="R32" s="1">
        <f>J32*Assumptions!$E$19</f>
        <v>1.3</v>
      </c>
      <c r="S32" s="3">
        <f>G32*Assumptions!$E$10*Assumptions!$E$6+J32*Assumptions!$E$7+M32*Assumptions!$E$13*Assumptions!$E$6+N32*Assumptions!$E$12*Assumptions!$E$6+Q32*Assumptions!$E$15*Assumptions!$E$6</f>
        <v>4319.150146</v>
      </c>
      <c r="T32" s="3">
        <f>R32*Assumptions!$E$20-H32*Assumptions!$E$21</f>
        <v>300</v>
      </c>
      <c r="U32" s="3">
        <f t="shared" si="7"/>
        <v>4619.150146</v>
      </c>
      <c r="V32" s="4">
        <f>U32/H32/Assumptions!$E$21</f>
        <v>4.619150146</v>
      </c>
      <c r="W32" s="3">
        <f t="shared" si="8"/>
        <v>0.26</v>
      </c>
    </row>
    <row r="33" ht="15.75" customHeight="1">
      <c r="A33" s="1" t="s">
        <v>54</v>
      </c>
      <c r="B33" s="1" t="s">
        <v>55</v>
      </c>
      <c r="D33" s="1">
        <v>105.0</v>
      </c>
      <c r="E33" s="1" t="s">
        <v>71</v>
      </c>
      <c r="F33" s="5" t="s">
        <v>39</v>
      </c>
      <c r="G33" s="1">
        <v>20081.0</v>
      </c>
      <c r="H33" s="1">
        <v>4.0</v>
      </c>
      <c r="I33" s="8">
        <v>5020.25</v>
      </c>
      <c r="J33" s="1">
        <v>12.0</v>
      </c>
      <c r="K33" s="8">
        <v>3.0</v>
      </c>
      <c r="L33" s="1">
        <v>11.0</v>
      </c>
      <c r="M33" s="8">
        <v>0.00219112593994323</v>
      </c>
      <c r="N33" s="1">
        <v>140.0</v>
      </c>
      <c r="O33" s="8">
        <v>0.02788705741745929</v>
      </c>
      <c r="P33" s="1">
        <v>4.0</v>
      </c>
      <c r="Q33" s="1">
        <f t="shared" si="6"/>
        <v>8</v>
      </c>
      <c r="R33" s="1">
        <f>J33*Assumptions!$E$19</f>
        <v>3.12</v>
      </c>
      <c r="S33" s="3">
        <f>G33*Assumptions!$E$10*Assumptions!$E$6+J33*Assumptions!$E$7+M33*Assumptions!$E$13*Assumptions!$E$6+N33*Assumptions!$E$12*Assumptions!$E$6+Q33*Assumptions!$E$15*Assumptions!$E$6</f>
        <v>8707.172056</v>
      </c>
      <c r="T33" s="3">
        <f>R33*Assumptions!$E$20-H33*Assumptions!$E$21</f>
        <v>2320</v>
      </c>
      <c r="U33" s="3">
        <f t="shared" si="7"/>
        <v>11027.17206</v>
      </c>
      <c r="V33" s="4">
        <f>U33/H33/Assumptions!$E$21</f>
        <v>13.78396507</v>
      </c>
      <c r="W33" s="3">
        <f t="shared" si="8"/>
        <v>0.78</v>
      </c>
    </row>
    <row r="34" ht="15.75" customHeight="1">
      <c r="A34" s="1" t="s">
        <v>54</v>
      </c>
      <c r="B34" s="1" t="s">
        <v>55</v>
      </c>
      <c r="D34" s="1">
        <v>159.0</v>
      </c>
      <c r="E34" s="1" t="s">
        <v>72</v>
      </c>
      <c r="F34" s="5" t="s">
        <v>39</v>
      </c>
      <c r="G34" s="1">
        <v>2241.0</v>
      </c>
      <c r="H34" s="1">
        <v>4.0</v>
      </c>
      <c r="I34" s="8">
        <v>560.25</v>
      </c>
      <c r="J34" s="1">
        <v>4.0</v>
      </c>
      <c r="K34" s="8">
        <v>1.0</v>
      </c>
      <c r="L34" s="1">
        <v>0.0</v>
      </c>
      <c r="M34" s="8">
        <v>0.0</v>
      </c>
      <c r="N34" s="1">
        <v>22.0</v>
      </c>
      <c r="O34" s="8">
        <v>0.0392681838464971</v>
      </c>
      <c r="P34" s="1">
        <v>2.0</v>
      </c>
      <c r="Q34" s="1">
        <f t="shared" si="6"/>
        <v>8</v>
      </c>
      <c r="R34" s="1">
        <f>J34*Assumptions!$E$19</f>
        <v>1.04</v>
      </c>
      <c r="S34" s="3">
        <f>G34*Assumptions!$E$10*Assumptions!$E$6+J34*Assumptions!$E$7+M34*Assumptions!$E$13*Assumptions!$E$6+N34*Assumptions!$E$12*Assumptions!$E$6+Q34*Assumptions!$E$15*Assumptions!$E$6</f>
        <v>2274.0625</v>
      </c>
      <c r="T34" s="3">
        <f>R34*Assumptions!$E$20-H34*Assumptions!$E$21</f>
        <v>240</v>
      </c>
      <c r="U34" s="3">
        <f t="shared" si="7"/>
        <v>2514.0625</v>
      </c>
      <c r="V34" s="4">
        <f>U34/H34/Assumptions!$E$21</f>
        <v>3.142578125</v>
      </c>
      <c r="W34" s="3">
        <f t="shared" si="8"/>
        <v>0.26</v>
      </c>
    </row>
    <row r="35" ht="15.75" customHeight="1">
      <c r="A35" s="1" t="s">
        <v>54</v>
      </c>
      <c r="B35" s="1" t="s">
        <v>55</v>
      </c>
      <c r="D35" s="1">
        <v>160.0</v>
      </c>
      <c r="E35" s="1" t="s">
        <v>73</v>
      </c>
      <c r="F35" s="5" t="s">
        <v>39</v>
      </c>
      <c r="G35" s="1">
        <v>4386.0</v>
      </c>
      <c r="H35" s="1">
        <v>3.0</v>
      </c>
      <c r="I35" s="8">
        <v>1462.0</v>
      </c>
      <c r="J35" s="1">
        <v>8.0</v>
      </c>
      <c r="K35" s="8">
        <v>2.6666666666666665</v>
      </c>
      <c r="L35" s="1">
        <v>0.0</v>
      </c>
      <c r="M35" s="8">
        <v>0.0</v>
      </c>
      <c r="N35" s="1">
        <v>14.0</v>
      </c>
      <c r="O35" s="8">
        <v>0.009575923392612859</v>
      </c>
      <c r="P35" s="1">
        <v>1.0</v>
      </c>
      <c r="Q35" s="1">
        <f t="shared" si="6"/>
        <v>6</v>
      </c>
      <c r="R35" s="1">
        <f>J35*Assumptions!$E$19</f>
        <v>2.08</v>
      </c>
      <c r="S35" s="3">
        <f>G35*Assumptions!$E$10*Assumptions!$E$6+J35*Assumptions!$E$7+M35*Assumptions!$E$13*Assumptions!$E$6+N35*Assumptions!$E$12*Assumptions!$E$6+Q35*Assumptions!$E$15*Assumptions!$E$6</f>
        <v>3292.125</v>
      </c>
      <c r="T35" s="3">
        <f>R35*Assumptions!$E$20-H35*Assumptions!$E$21</f>
        <v>1480</v>
      </c>
      <c r="U35" s="3">
        <f t="shared" si="7"/>
        <v>4772.125</v>
      </c>
      <c r="V35" s="4">
        <f>U35/H35/Assumptions!$E$21</f>
        <v>7.953541667</v>
      </c>
      <c r="W35" s="3">
        <f t="shared" si="8"/>
        <v>0.6933333333</v>
      </c>
    </row>
    <row r="36" ht="15.75" customHeight="1">
      <c r="A36" s="1" t="s">
        <v>74</v>
      </c>
      <c r="B36" s="1" t="s">
        <v>74</v>
      </c>
      <c r="D36" s="1">
        <v>165.0</v>
      </c>
      <c r="E36" s="1" t="s">
        <v>75</v>
      </c>
      <c r="F36" s="5" t="s">
        <v>31</v>
      </c>
      <c r="G36" s="1">
        <v>192882.0</v>
      </c>
      <c r="H36" s="1">
        <v>312.0</v>
      </c>
      <c r="I36" s="8">
        <v>618.2115384615385</v>
      </c>
      <c r="J36" s="1">
        <v>0.0</v>
      </c>
      <c r="K36" s="8">
        <v>0.0</v>
      </c>
      <c r="L36" s="1">
        <v>68.0</v>
      </c>
      <c r="M36" s="8">
        <v>0.10999471179270227</v>
      </c>
      <c r="N36" s="1">
        <v>4037.0</v>
      </c>
      <c r="O36" s="8">
        <v>6.530127228046163</v>
      </c>
      <c r="P36" s="1">
        <v>23.0</v>
      </c>
      <c r="Q36" s="1">
        <f t="shared" si="6"/>
        <v>624</v>
      </c>
      <c r="R36" s="1">
        <f>J36*Assumptions!$E$19</f>
        <v>0</v>
      </c>
      <c r="S36" s="3">
        <f>G36*Assumptions!$E$10*Assumptions!$E$6+J36*Assumptions!$E$7+M36*Assumptions!$E$13*Assumptions!$E$6+N36*Assumptions!$E$12*Assumptions!$E$6+Q36*Assumptions!$E$15*Assumptions!$E$6</f>
        <v>144185.6247</v>
      </c>
      <c r="T36" s="3">
        <f>R36*Assumptions!$E$20-H36*Assumptions!$E$21</f>
        <v>-62400</v>
      </c>
      <c r="U36" s="3">
        <f t="shared" si="7"/>
        <v>81785.62474</v>
      </c>
      <c r="V36" s="4">
        <f>U36/H36/Assumptions!$E$21</f>
        <v>1.310667063</v>
      </c>
      <c r="W36" s="3">
        <f t="shared" si="8"/>
        <v>0</v>
      </c>
    </row>
    <row r="37" ht="15.75" customHeight="1">
      <c r="A37" s="1" t="s">
        <v>74</v>
      </c>
      <c r="B37" s="1" t="s">
        <v>74</v>
      </c>
      <c r="D37" s="1">
        <v>148.0</v>
      </c>
      <c r="E37" s="1" t="s">
        <v>76</v>
      </c>
      <c r="F37" s="5" t="s">
        <v>31</v>
      </c>
      <c r="G37" s="1">
        <v>65793.0</v>
      </c>
      <c r="H37" s="1">
        <v>36.0</v>
      </c>
      <c r="I37" s="8">
        <v>1827.5833333333333</v>
      </c>
      <c r="J37" s="1">
        <v>135.0</v>
      </c>
      <c r="K37" s="8">
        <v>3.75</v>
      </c>
      <c r="L37" s="1">
        <v>11.0</v>
      </c>
      <c r="M37" s="8">
        <v>0.006018877388171994</v>
      </c>
      <c r="N37" s="1">
        <v>521.0</v>
      </c>
      <c r="O37" s="8">
        <v>0.2850759199306917</v>
      </c>
      <c r="P37" s="1">
        <v>4.0</v>
      </c>
      <c r="Q37" s="1">
        <f t="shared" si="6"/>
        <v>72</v>
      </c>
      <c r="R37" s="1">
        <f>J37*Assumptions!$E$19</f>
        <v>35.1</v>
      </c>
      <c r="S37" s="3">
        <f>G37*Assumptions!$E$10*Assumptions!$E$6+J37*Assumptions!$E$7+M37*Assumptions!$E$13*Assumptions!$E$6+N37*Assumptions!$E$12*Assumptions!$E$6+Q37*Assumptions!$E$15*Assumptions!$E$6</f>
        <v>60697.36344</v>
      </c>
      <c r="T37" s="3">
        <f>R37*Assumptions!$E$20-H37*Assumptions!$E$21</f>
        <v>27900</v>
      </c>
      <c r="U37" s="3">
        <f t="shared" si="7"/>
        <v>88597.36344</v>
      </c>
      <c r="V37" s="4">
        <f>U37/H37/Assumptions!$E$21</f>
        <v>12.30518937</v>
      </c>
      <c r="W37" s="3">
        <f t="shared" si="8"/>
        <v>0.975</v>
      </c>
    </row>
    <row r="38" ht="15.75" customHeight="1">
      <c r="A38" s="1" t="s">
        <v>74</v>
      </c>
      <c r="B38" s="1" t="s">
        <v>74</v>
      </c>
      <c r="D38" s="1">
        <v>177.0</v>
      </c>
      <c r="E38" s="1" t="s">
        <v>77</v>
      </c>
      <c r="F38" s="5" t="s">
        <v>31</v>
      </c>
      <c r="G38" s="1">
        <v>12279.0</v>
      </c>
      <c r="H38" s="1">
        <v>7.0</v>
      </c>
      <c r="I38" s="8">
        <v>1754.142857142857</v>
      </c>
      <c r="J38" s="1">
        <v>3.0</v>
      </c>
      <c r="K38" s="8">
        <v>0.42857142857142855</v>
      </c>
      <c r="L38" s="1">
        <v>0.0</v>
      </c>
      <c r="M38" s="8">
        <v>0.0</v>
      </c>
      <c r="N38" s="1">
        <v>259.0</v>
      </c>
      <c r="O38" s="8">
        <v>0.14765046013519018</v>
      </c>
      <c r="P38" s="1">
        <v>1.0</v>
      </c>
      <c r="Q38" s="1">
        <f t="shared" si="6"/>
        <v>14</v>
      </c>
      <c r="R38" s="1">
        <f>J38*Assumptions!$E$19</f>
        <v>0.78</v>
      </c>
      <c r="S38" s="3">
        <f>G38*Assumptions!$E$10*Assumptions!$E$6+J38*Assumptions!$E$7+M38*Assumptions!$E$13*Assumptions!$E$6+N38*Assumptions!$E$12*Assumptions!$E$6+Q38*Assumptions!$E$15*Assumptions!$E$6</f>
        <v>8830.4375</v>
      </c>
      <c r="T38" s="3">
        <f>R38*Assumptions!$E$20-H38*Assumptions!$E$21</f>
        <v>-620</v>
      </c>
      <c r="U38" s="3">
        <f t="shared" si="7"/>
        <v>8210.4375</v>
      </c>
      <c r="V38" s="4">
        <f>U38/H38/Assumptions!$E$21</f>
        <v>5.864598214</v>
      </c>
      <c r="W38" s="3">
        <f t="shared" si="8"/>
        <v>0.1114285714</v>
      </c>
    </row>
    <row r="39" ht="15.75" customHeight="1">
      <c r="A39" s="1" t="s">
        <v>78</v>
      </c>
      <c r="B39" s="1" t="s">
        <v>79</v>
      </c>
      <c r="D39" s="1">
        <v>285.0</v>
      </c>
      <c r="E39" s="1" t="s">
        <v>80</v>
      </c>
      <c r="F39" s="5" t="s">
        <v>31</v>
      </c>
      <c r="G39" s="1">
        <v>52879.0</v>
      </c>
      <c r="H39" s="1">
        <v>125.0</v>
      </c>
      <c r="I39" s="8">
        <v>423.032</v>
      </c>
      <c r="J39" s="1">
        <v>0.0</v>
      </c>
      <c r="K39" s="8">
        <v>0.0</v>
      </c>
      <c r="L39" s="1">
        <v>13.0</v>
      </c>
      <c r="M39" s="8">
        <v>0.030730535751432517</v>
      </c>
      <c r="N39" s="1">
        <v>810.0</v>
      </c>
      <c r="O39" s="8">
        <v>1.9147487660507954</v>
      </c>
      <c r="P39" s="1">
        <v>10.0</v>
      </c>
      <c r="Q39" s="1">
        <f t="shared" si="6"/>
        <v>250</v>
      </c>
      <c r="R39" s="1">
        <f>J39*Assumptions!$E$19</f>
        <v>0</v>
      </c>
      <c r="S39" s="3">
        <f>G39*Assumptions!$E$10*Assumptions!$E$6+J39*Assumptions!$E$7+M39*Assumptions!$E$13*Assumptions!$E$6+N39*Assumptions!$E$12*Assumptions!$E$6+Q39*Assumptions!$E$15*Assumptions!$E$6</f>
        <v>36056.47403</v>
      </c>
      <c r="T39" s="3">
        <f>R39*Assumptions!$E$20-H39*Assumptions!$E$21</f>
        <v>-25000</v>
      </c>
      <c r="U39" s="3">
        <f t="shared" si="7"/>
        <v>11056.47403</v>
      </c>
      <c r="V39" s="4">
        <f>U39/H39/Assumptions!$E$21</f>
        <v>0.4422589611</v>
      </c>
      <c r="W39" s="3">
        <f t="shared" si="8"/>
        <v>0</v>
      </c>
    </row>
    <row r="40" ht="15.75" customHeight="1">
      <c r="A40" s="1" t="s">
        <v>81</v>
      </c>
      <c r="B40" s="1" t="s">
        <v>82</v>
      </c>
      <c r="D40" s="1">
        <v>329.0</v>
      </c>
      <c r="E40" s="1" t="s">
        <v>83</v>
      </c>
      <c r="F40" s="5" t="s">
        <v>31</v>
      </c>
      <c r="G40" s="1">
        <v>31971.0</v>
      </c>
      <c r="H40" s="1">
        <v>19.0</v>
      </c>
      <c r="I40" s="8">
        <v>1682.6842105263158</v>
      </c>
      <c r="J40" s="1">
        <v>74.0</v>
      </c>
      <c r="K40" s="8">
        <v>3.8947368421052633</v>
      </c>
      <c r="L40" s="1">
        <v>1.0</v>
      </c>
      <c r="M40" s="8">
        <v>5.942885740202058E-4</v>
      </c>
      <c r="N40" s="1">
        <v>55.0</v>
      </c>
      <c r="O40" s="8">
        <v>0.032685871571111316</v>
      </c>
      <c r="P40" s="1">
        <v>2.0</v>
      </c>
      <c r="Q40" s="1">
        <f t="shared" si="6"/>
        <v>38</v>
      </c>
      <c r="R40" s="1">
        <f>J40*Assumptions!$E$19</f>
        <v>19.24</v>
      </c>
      <c r="S40" s="3">
        <f>G40*Assumptions!$E$10*Assumptions!$E$6+J40*Assumptions!$E$7+M40*Assumptions!$E$13*Assumptions!$E$6+N40*Assumptions!$E$12*Assumptions!$E$6+Q40*Assumptions!$E$15*Assumptions!$E$6</f>
        <v>27177.21721</v>
      </c>
      <c r="T40" s="3">
        <f>R40*Assumptions!$E$20-H40*Assumptions!$E$21</f>
        <v>15440</v>
      </c>
      <c r="U40" s="3">
        <f t="shared" si="7"/>
        <v>42617.21721</v>
      </c>
      <c r="V40" s="4">
        <f>U40/H40/Assumptions!$E$21</f>
        <v>11.21505716</v>
      </c>
      <c r="W40" s="3">
        <f t="shared" si="8"/>
        <v>1.012631579</v>
      </c>
    </row>
    <row r="41" ht="15.75" customHeight="1">
      <c r="A41" s="1" t="s">
        <v>84</v>
      </c>
      <c r="B41" s="1" t="s">
        <v>85</v>
      </c>
      <c r="D41" s="1">
        <v>211.0</v>
      </c>
      <c r="E41" s="1" t="s">
        <v>86</v>
      </c>
      <c r="F41" s="5" t="s">
        <v>31</v>
      </c>
      <c r="G41" s="1">
        <v>230813.0</v>
      </c>
      <c r="H41" s="1">
        <v>131.0</v>
      </c>
      <c r="I41" s="8">
        <v>1761.9312977099237</v>
      </c>
      <c r="J41" s="1">
        <v>90.0</v>
      </c>
      <c r="K41" s="8">
        <v>0.6870229007633588</v>
      </c>
      <c r="L41" s="1">
        <v>17.0</v>
      </c>
      <c r="M41" s="8">
        <v>0.009648503333867676</v>
      </c>
      <c r="N41" s="1">
        <v>1691.0</v>
      </c>
      <c r="O41" s="8">
        <v>0.9597423022100141</v>
      </c>
      <c r="P41" s="1">
        <v>9.0</v>
      </c>
      <c r="Q41" s="1">
        <f t="shared" si="6"/>
        <v>262</v>
      </c>
      <c r="R41" s="1">
        <f>J41*Assumptions!$E$19</f>
        <v>23.4</v>
      </c>
      <c r="S41" s="3">
        <f>G41*Assumptions!$E$10*Assumptions!$E$6+J41*Assumptions!$E$7+M41*Assumptions!$E$13*Assumptions!$E$6+N41*Assumptions!$E$12*Assumptions!$E$6+Q41*Assumptions!$E$15*Assumptions!$E$6</f>
        <v>96441.29493</v>
      </c>
      <c r="T41" s="3">
        <f>R41*Assumptions!$E$20-H41*Assumptions!$E$21</f>
        <v>-2800</v>
      </c>
      <c r="U41" s="3">
        <f t="shared" si="7"/>
        <v>93641.29493</v>
      </c>
      <c r="V41" s="4">
        <f>U41/H41/Assumptions!$E$21</f>
        <v>3.574095226</v>
      </c>
      <c r="W41" s="3">
        <f t="shared" si="8"/>
        <v>0.1786259542</v>
      </c>
    </row>
    <row r="42" ht="15.75" customHeight="1">
      <c r="A42" s="1" t="s">
        <v>87</v>
      </c>
      <c r="B42" s="1" t="s">
        <v>85</v>
      </c>
      <c r="C42" s="1" t="s">
        <v>88</v>
      </c>
      <c r="D42" s="1">
        <v>336.0</v>
      </c>
      <c r="E42" s="1" t="s">
        <v>89</v>
      </c>
      <c r="F42" s="5" t="s">
        <v>31</v>
      </c>
      <c r="G42" s="1">
        <v>4785277.0</v>
      </c>
      <c r="H42" s="1">
        <v>2932.0</v>
      </c>
      <c r="I42" s="8">
        <v>1632.0862892223738</v>
      </c>
      <c r="J42" s="1">
        <v>12107.0</v>
      </c>
      <c r="K42" s="8">
        <v>4.129263301500682</v>
      </c>
      <c r="L42" s="1">
        <v>4003.0</v>
      </c>
      <c r="M42" s="8">
        <v>2.4526889456973966</v>
      </c>
      <c r="N42" s="1">
        <v>20196.0</v>
      </c>
      <c r="O42" s="8">
        <v>12.374345727530507</v>
      </c>
      <c r="P42" s="1">
        <v>4.0</v>
      </c>
      <c r="Q42" s="1">
        <f t="shared" si="6"/>
        <v>5864</v>
      </c>
      <c r="R42" s="1">
        <f>J42*Assumptions!$E$19</f>
        <v>3147.82</v>
      </c>
      <c r="S42" s="3">
        <f>G42*Assumptions!$E$10*Assumptions!$E$6+J42*Assumptions!$E$7+M42*Assumptions!$E$13*Assumptions!$E$6+N42*Assumptions!$E$12*Assumptions!$E$6+Q42*Assumptions!$E$15*Assumptions!$E$6</f>
        <v>4680974.447</v>
      </c>
      <c r="T42" s="3">
        <f>R42*Assumptions!$E$20-H42*Assumptions!$E$21</f>
        <v>2561420</v>
      </c>
      <c r="U42" s="3">
        <f t="shared" si="7"/>
        <v>7242394.447</v>
      </c>
      <c r="V42" s="4">
        <f>U42/H42/Assumptions!$E$21</f>
        <v>12.35060445</v>
      </c>
      <c r="W42" s="3">
        <f t="shared" si="8"/>
        <v>1.073608458</v>
      </c>
    </row>
    <row r="43" ht="15.75" customHeight="1">
      <c r="A43" s="1" t="s">
        <v>87</v>
      </c>
      <c r="B43" s="1" t="s">
        <v>85</v>
      </c>
      <c r="C43" s="1" t="s">
        <v>88</v>
      </c>
      <c r="D43" s="1">
        <v>318.0</v>
      </c>
      <c r="E43" s="1" t="s">
        <v>90</v>
      </c>
      <c r="F43" s="5" t="s">
        <v>31</v>
      </c>
      <c r="G43" s="1">
        <v>691286.0</v>
      </c>
      <c r="H43" s="1">
        <v>348.0</v>
      </c>
      <c r="I43" s="8">
        <v>1986.4540229885058</v>
      </c>
      <c r="J43" s="1">
        <v>951.0</v>
      </c>
      <c r="K43" s="8">
        <v>2.7327586206896552</v>
      </c>
      <c r="L43" s="1">
        <v>30.0</v>
      </c>
      <c r="M43" s="8">
        <v>0.01510228762046389</v>
      </c>
      <c r="N43" s="1">
        <v>1961.0</v>
      </c>
      <c r="O43" s="8">
        <v>0.9871862007909895</v>
      </c>
      <c r="P43" s="1">
        <v>1.0</v>
      </c>
      <c r="Q43" s="1">
        <f t="shared" si="6"/>
        <v>696</v>
      </c>
      <c r="R43" s="1">
        <f>J43*Assumptions!$E$19</f>
        <v>247.26</v>
      </c>
      <c r="S43" s="3">
        <f>G43*Assumptions!$E$10*Assumptions!$E$6+J43*Assumptions!$E$7+M43*Assumptions!$E$13*Assumptions!$E$6+N43*Assumptions!$E$12*Assumptions!$E$6+Q43*Assumptions!$E$15*Assumptions!$E$6</f>
        <v>408527.1301</v>
      </c>
      <c r="T43" s="3">
        <f>R43*Assumptions!$E$20-H43*Assumptions!$E$21</f>
        <v>177660</v>
      </c>
      <c r="U43" s="3">
        <f t="shared" si="7"/>
        <v>586187.1301</v>
      </c>
      <c r="V43" s="4">
        <f>U43/H43/Assumptions!$E$21</f>
        <v>8.422228881</v>
      </c>
      <c r="W43" s="3">
        <f t="shared" si="8"/>
        <v>0.7105172414</v>
      </c>
    </row>
    <row r="44" ht="15.75" customHeight="1">
      <c r="A44" s="1" t="s">
        <v>87</v>
      </c>
      <c r="B44" s="1" t="s">
        <v>85</v>
      </c>
      <c r="C44" s="1" t="s">
        <v>88</v>
      </c>
      <c r="D44" s="1">
        <v>271.0</v>
      </c>
      <c r="E44" s="1" t="s">
        <v>91</v>
      </c>
      <c r="F44" s="5" t="s">
        <v>31</v>
      </c>
      <c r="G44" s="1">
        <v>483180.0</v>
      </c>
      <c r="H44" s="1">
        <v>286.0</v>
      </c>
      <c r="I44" s="8">
        <v>1689.4405594405594</v>
      </c>
      <c r="J44" s="1">
        <v>928.0</v>
      </c>
      <c r="K44" s="8">
        <v>3.2447552447552446</v>
      </c>
      <c r="L44" s="1">
        <v>50.0</v>
      </c>
      <c r="M44" s="8">
        <v>0.029595595844198852</v>
      </c>
      <c r="N44" s="1">
        <v>2420.0</v>
      </c>
      <c r="O44" s="8">
        <v>1.4324268388592243</v>
      </c>
      <c r="P44" s="1">
        <v>1.0</v>
      </c>
      <c r="Q44" s="1">
        <f t="shared" si="6"/>
        <v>572</v>
      </c>
      <c r="R44" s="1">
        <f>J44*Assumptions!$E$19</f>
        <v>241.28</v>
      </c>
      <c r="S44" s="3">
        <f>G44*Assumptions!$E$10*Assumptions!$E$6+J44*Assumptions!$E$7+M44*Assumptions!$E$13*Assumptions!$E$6+N44*Assumptions!$E$12*Assumptions!$E$6+Q44*Assumptions!$E$15*Assumptions!$E$6</f>
        <v>393988.2298</v>
      </c>
      <c r="T44" s="3">
        <f>R44*Assumptions!$E$20-H44*Assumptions!$E$21</f>
        <v>184080</v>
      </c>
      <c r="U44" s="3">
        <f t="shared" si="7"/>
        <v>578068.2298</v>
      </c>
      <c r="V44" s="4">
        <f>U44/H44/Assumptions!$E$21</f>
        <v>10.10608793</v>
      </c>
      <c r="W44" s="3">
        <f t="shared" si="8"/>
        <v>0.8436363636</v>
      </c>
    </row>
    <row r="45" ht="15.75" customHeight="1">
      <c r="A45" s="1" t="s">
        <v>87</v>
      </c>
      <c r="B45" s="1" t="s">
        <v>85</v>
      </c>
      <c r="C45" s="1" t="s">
        <v>88</v>
      </c>
      <c r="D45" s="1">
        <v>241.0</v>
      </c>
      <c r="E45" s="1" t="s">
        <v>92</v>
      </c>
      <c r="F45" s="5" t="s">
        <v>31</v>
      </c>
      <c r="G45" s="1">
        <v>337976.0</v>
      </c>
      <c r="H45" s="1">
        <v>201.0</v>
      </c>
      <c r="I45" s="8">
        <v>1681.4726368159204</v>
      </c>
      <c r="J45" s="1">
        <v>1129.0</v>
      </c>
      <c r="K45" s="8">
        <v>5.616915422885572</v>
      </c>
      <c r="L45" s="1">
        <v>30.0</v>
      </c>
      <c r="M45" s="8">
        <v>0.01784150353871281</v>
      </c>
      <c r="N45" s="1">
        <v>2084.0</v>
      </c>
      <c r="O45" s="8">
        <v>1.2393897791559163</v>
      </c>
      <c r="P45" s="1">
        <v>1.0</v>
      </c>
      <c r="Q45" s="1">
        <f t="shared" si="6"/>
        <v>402</v>
      </c>
      <c r="R45" s="1">
        <f>J45*Assumptions!$E$19</f>
        <v>293.54</v>
      </c>
      <c r="S45" s="3">
        <f>G45*Assumptions!$E$10*Assumptions!$E$6+J45*Assumptions!$E$7+M45*Assumptions!$E$13*Assumptions!$E$6+N45*Assumptions!$E$12*Assumptions!$E$6+Q45*Assumptions!$E$15*Assumptions!$E$6</f>
        <v>427508.3921</v>
      </c>
      <c r="T45" s="3">
        <f>R45*Assumptions!$E$20-H45*Assumptions!$E$21</f>
        <v>253340</v>
      </c>
      <c r="U45" s="3">
        <f t="shared" si="7"/>
        <v>680848.3921</v>
      </c>
      <c r="V45" s="4">
        <f>U45/H45/Assumptions!$E$21</f>
        <v>16.93652717</v>
      </c>
      <c r="W45" s="3">
        <f t="shared" si="8"/>
        <v>1.46039801</v>
      </c>
    </row>
    <row r="46" ht="15.75" customHeight="1">
      <c r="A46" s="1" t="s">
        <v>87</v>
      </c>
      <c r="B46" s="1" t="s">
        <v>85</v>
      </c>
      <c r="C46" s="1" t="s">
        <v>88</v>
      </c>
      <c r="D46" s="1">
        <v>319.0</v>
      </c>
      <c r="E46" s="1" t="s">
        <v>90</v>
      </c>
      <c r="F46" s="5" t="s">
        <v>31</v>
      </c>
      <c r="G46" s="1">
        <v>381506.0</v>
      </c>
      <c r="H46" s="1">
        <v>191.0</v>
      </c>
      <c r="I46" s="8">
        <v>1997.413612565445</v>
      </c>
      <c r="J46" s="1">
        <v>898.0</v>
      </c>
      <c r="K46" s="8">
        <v>4.701570680628272</v>
      </c>
      <c r="L46" s="1">
        <v>376.0</v>
      </c>
      <c r="M46" s="8">
        <v>0.18824343522775527</v>
      </c>
      <c r="N46" s="1">
        <v>1402.0</v>
      </c>
      <c r="O46" s="8">
        <v>0.7019077026311513</v>
      </c>
      <c r="P46" s="1">
        <v>1.0</v>
      </c>
      <c r="Q46" s="1">
        <f t="shared" si="6"/>
        <v>382</v>
      </c>
      <c r="R46" s="1">
        <f>J46*Assumptions!$E$19</f>
        <v>233.48</v>
      </c>
      <c r="S46" s="3">
        <f>G46*Assumptions!$E$10*Assumptions!$E$6+J46*Assumptions!$E$7+M46*Assumptions!$E$13*Assumptions!$E$6+N46*Assumptions!$E$12*Assumptions!$E$6+Q46*Assumptions!$E$15*Assumptions!$E$6</f>
        <v>343811.5372</v>
      </c>
      <c r="T46" s="3">
        <f>R46*Assumptions!$E$20-H46*Assumptions!$E$21</f>
        <v>195280</v>
      </c>
      <c r="U46" s="3">
        <f t="shared" si="7"/>
        <v>539091.5372</v>
      </c>
      <c r="V46" s="4">
        <f>U46/H46/Assumptions!$E$21</f>
        <v>14.11234391</v>
      </c>
      <c r="W46" s="3">
        <f t="shared" si="8"/>
        <v>1.222408377</v>
      </c>
    </row>
    <row r="47" ht="15.75" customHeight="1">
      <c r="A47" s="1" t="s">
        <v>87</v>
      </c>
      <c r="B47" s="1" t="s">
        <v>85</v>
      </c>
      <c r="C47" s="1" t="s">
        <v>88</v>
      </c>
      <c r="D47" s="1">
        <v>244.0</v>
      </c>
      <c r="E47" s="1" t="s">
        <v>93</v>
      </c>
      <c r="F47" s="5" t="s">
        <v>31</v>
      </c>
      <c r="G47" s="1">
        <v>193844.0</v>
      </c>
      <c r="H47" s="1">
        <v>131.0</v>
      </c>
      <c r="I47" s="8">
        <v>1479.7251908396947</v>
      </c>
      <c r="J47" s="1">
        <v>339.0</v>
      </c>
      <c r="K47" s="8">
        <v>2.5877862595419847</v>
      </c>
      <c r="L47" s="1">
        <v>25.0</v>
      </c>
      <c r="M47" s="8">
        <v>0.016895028992385628</v>
      </c>
      <c r="N47" s="1">
        <v>522.0</v>
      </c>
      <c r="O47" s="8">
        <v>0.35276820536101194</v>
      </c>
      <c r="P47" s="1">
        <v>1.0</v>
      </c>
      <c r="Q47" s="1">
        <f t="shared" si="6"/>
        <v>262</v>
      </c>
      <c r="R47" s="1">
        <f>J47*Assumptions!$E$19</f>
        <v>88.14</v>
      </c>
      <c r="S47" s="3">
        <f>G47*Assumptions!$E$10*Assumptions!$E$6+J47*Assumptions!$E$7+M47*Assumptions!$E$13*Assumptions!$E$6+N47*Assumptions!$E$12*Assumptions!$E$6+Q47*Assumptions!$E$15*Assumptions!$E$6</f>
        <v>138610.0948</v>
      </c>
      <c r="T47" s="3">
        <f>R47*Assumptions!$E$20-H47*Assumptions!$E$21</f>
        <v>61940</v>
      </c>
      <c r="U47" s="3">
        <f t="shared" si="7"/>
        <v>200550.0948</v>
      </c>
      <c r="V47" s="4">
        <f>U47/H47/Assumptions!$E$21</f>
        <v>7.654583769</v>
      </c>
      <c r="W47" s="3">
        <f t="shared" si="8"/>
        <v>0.6728244275</v>
      </c>
    </row>
    <row r="48" ht="15.75" customHeight="1">
      <c r="A48" s="1" t="s">
        <v>87</v>
      </c>
      <c r="B48" s="1" t="s">
        <v>85</v>
      </c>
      <c r="C48" s="1" t="s">
        <v>88</v>
      </c>
      <c r="D48" s="1">
        <v>307.0</v>
      </c>
      <c r="E48" s="1" t="s">
        <v>94</v>
      </c>
      <c r="F48" s="5" t="s">
        <v>31</v>
      </c>
      <c r="G48" s="1">
        <v>244919.0</v>
      </c>
      <c r="H48" s="1">
        <v>110.0</v>
      </c>
      <c r="I48" s="8">
        <v>2226.5363636363636</v>
      </c>
      <c r="J48" s="1">
        <v>769.0</v>
      </c>
      <c r="K48" s="8">
        <v>6.990909090909091</v>
      </c>
      <c r="L48" s="1">
        <v>34.0</v>
      </c>
      <c r="M48" s="8">
        <v>0.015270354688692997</v>
      </c>
      <c r="N48" s="1">
        <v>783.0</v>
      </c>
      <c r="O48" s="8">
        <v>0.35166728591901814</v>
      </c>
      <c r="P48" s="1">
        <v>1.0</v>
      </c>
      <c r="Q48" s="1">
        <f t="shared" si="6"/>
        <v>220</v>
      </c>
      <c r="R48" s="1">
        <f>J48*Assumptions!$E$19</f>
        <v>199.94</v>
      </c>
      <c r="S48" s="3">
        <f>G48*Assumptions!$E$10*Assumptions!$E$6+J48*Assumptions!$E$7+M48*Assumptions!$E$13*Assumptions!$E$6+N48*Assumptions!$E$12*Assumptions!$E$6+Q48*Assumptions!$E$15*Assumptions!$E$6</f>
        <v>273507.201</v>
      </c>
      <c r="T48" s="3">
        <f>R48*Assumptions!$E$20-H48*Assumptions!$E$21</f>
        <v>177940</v>
      </c>
      <c r="U48" s="3">
        <f t="shared" si="7"/>
        <v>451447.201</v>
      </c>
      <c r="V48" s="4">
        <f>U48/H48/Assumptions!$E$21</f>
        <v>20.52032732</v>
      </c>
      <c r="W48" s="3">
        <f t="shared" si="8"/>
        <v>1.817636364</v>
      </c>
    </row>
    <row r="49" ht="15.75" customHeight="1">
      <c r="A49" s="1" t="s">
        <v>87</v>
      </c>
      <c r="B49" s="1" t="s">
        <v>85</v>
      </c>
      <c r="C49" s="1" t="s">
        <v>88</v>
      </c>
      <c r="D49" s="1">
        <v>328.0</v>
      </c>
      <c r="E49" s="1" t="s">
        <v>95</v>
      </c>
      <c r="F49" s="5" t="s">
        <v>39</v>
      </c>
      <c r="G49" s="1">
        <v>19372.0</v>
      </c>
      <c r="H49" s="1">
        <v>8.0</v>
      </c>
      <c r="I49" s="8">
        <v>2421.5</v>
      </c>
      <c r="J49" s="1">
        <v>35.0</v>
      </c>
      <c r="K49" s="8">
        <v>4.375</v>
      </c>
      <c r="L49" s="1">
        <v>2.0</v>
      </c>
      <c r="M49" s="8">
        <v>8.259343382201115E-4</v>
      </c>
      <c r="N49" s="1">
        <v>64.0</v>
      </c>
      <c r="O49" s="8">
        <v>0.026429898823043568</v>
      </c>
      <c r="P49" s="1">
        <v>2.0</v>
      </c>
      <c r="Q49" s="1">
        <f t="shared" si="6"/>
        <v>16</v>
      </c>
      <c r="R49" s="1">
        <f>J49*Assumptions!$E$19</f>
        <v>9.1</v>
      </c>
      <c r="S49" s="3">
        <f>G49*Assumptions!$E$10*Assumptions!$E$6+J49*Assumptions!$E$7+M49*Assumptions!$E$13*Assumptions!$E$6+N49*Assumptions!$E$12*Assumptions!$E$6+Q49*Assumptions!$E$15*Assumptions!$E$6</f>
        <v>13970.7913</v>
      </c>
      <c r="T49" s="3">
        <f>R49*Assumptions!$E$20-H49*Assumptions!$E$21</f>
        <v>7500</v>
      </c>
      <c r="U49" s="3">
        <f t="shared" si="7"/>
        <v>21470.7913</v>
      </c>
      <c r="V49" s="4">
        <f>U49/H49/Assumptions!$E$21</f>
        <v>13.41924456</v>
      </c>
      <c r="W49" s="3">
        <f t="shared" si="8"/>
        <v>1.1375</v>
      </c>
    </row>
    <row r="50" ht="15.75" customHeight="1">
      <c r="A50" s="1" t="s">
        <v>96</v>
      </c>
      <c r="B50" s="1" t="s">
        <v>97</v>
      </c>
      <c r="D50" s="1">
        <v>378.0</v>
      </c>
      <c r="E50" s="1" t="s">
        <v>98</v>
      </c>
      <c r="F50" s="5" t="s">
        <v>39</v>
      </c>
      <c r="G50" s="1">
        <v>2462.0</v>
      </c>
      <c r="H50" s="1">
        <v>4.0</v>
      </c>
      <c r="I50" s="8">
        <v>615.5</v>
      </c>
      <c r="J50" s="1">
        <v>2.0</v>
      </c>
      <c r="K50" s="8">
        <v>0.5</v>
      </c>
      <c r="L50" s="1">
        <v>0.0</v>
      </c>
      <c r="M50" s="8">
        <v>0.0</v>
      </c>
      <c r="N50" s="1">
        <v>0.0</v>
      </c>
      <c r="O50" s="8">
        <v>0.0</v>
      </c>
      <c r="P50" s="1">
        <v>1.0</v>
      </c>
      <c r="Q50" s="1">
        <f t="shared" si="6"/>
        <v>8</v>
      </c>
      <c r="R50" s="1">
        <f>J50*Assumptions!$E$19</f>
        <v>0.52</v>
      </c>
      <c r="S50" s="3">
        <f>G50*Assumptions!$E$10*Assumptions!$E$6+J50*Assumptions!$E$7+M50*Assumptions!$E$13*Assumptions!$E$6+N50*Assumptions!$E$12*Assumptions!$E$6+Q50*Assumptions!$E$15*Assumptions!$E$6</f>
        <v>1145.875</v>
      </c>
      <c r="T50" s="3">
        <f>R50*Assumptions!$E$20-H50*Assumptions!$E$21</f>
        <v>-280</v>
      </c>
      <c r="U50" s="3">
        <f t="shared" si="7"/>
        <v>865.875</v>
      </c>
      <c r="V50" s="4">
        <f>U50/H50/Assumptions!$E$21</f>
        <v>1.08234375</v>
      </c>
      <c r="W50" s="3">
        <f t="shared" si="8"/>
        <v>0.13</v>
      </c>
    </row>
    <row r="51" ht="15.75" customHeight="1">
      <c r="A51" s="1" t="s">
        <v>99</v>
      </c>
      <c r="B51" s="1" t="s">
        <v>85</v>
      </c>
      <c r="D51" s="1">
        <v>113.0</v>
      </c>
      <c r="E51" s="1" t="s">
        <v>100</v>
      </c>
      <c r="F51" s="5" t="s">
        <v>31</v>
      </c>
      <c r="G51" s="1">
        <v>773072.0</v>
      </c>
      <c r="H51" s="1">
        <v>341.0</v>
      </c>
      <c r="I51" s="8">
        <v>2267.073313782991</v>
      </c>
      <c r="J51" s="1">
        <v>1963.0</v>
      </c>
      <c r="K51" s="8">
        <v>5.756598240469208</v>
      </c>
      <c r="L51" s="1">
        <v>49.0</v>
      </c>
      <c r="M51" s="8">
        <v>0.021613769480721072</v>
      </c>
      <c r="N51" s="1">
        <v>3389.0</v>
      </c>
      <c r="O51" s="8">
        <v>1.494878872860484</v>
      </c>
      <c r="P51" s="1">
        <v>2.0</v>
      </c>
      <c r="Q51" s="1">
        <f t="shared" si="6"/>
        <v>682</v>
      </c>
      <c r="R51" s="1">
        <f>J51*Assumptions!$E$19</f>
        <v>510.38</v>
      </c>
      <c r="S51" s="3">
        <f>G51*Assumptions!$E$10*Assumptions!$E$6+J51*Assumptions!$E$7+M51*Assumptions!$E$13*Assumptions!$E$6+N51*Assumptions!$E$12*Assumptions!$E$6+Q51*Assumptions!$E$15*Assumptions!$E$6</f>
        <v>748191.0807</v>
      </c>
      <c r="T51" s="3">
        <f>R51*Assumptions!$E$20-H51*Assumptions!$E$21</f>
        <v>442180</v>
      </c>
      <c r="U51" s="3">
        <f t="shared" si="7"/>
        <v>1190371.081</v>
      </c>
      <c r="V51" s="4">
        <f>U51/H51/Assumptions!$E$21</f>
        <v>17.45412142</v>
      </c>
      <c r="W51" s="3">
        <f t="shared" si="8"/>
        <v>1.496715543</v>
      </c>
    </row>
    <row r="52" ht="15.75" customHeight="1">
      <c r="A52" s="1" t="s">
        <v>99</v>
      </c>
      <c r="B52" s="1" t="s">
        <v>85</v>
      </c>
      <c r="D52" s="1">
        <v>195.0</v>
      </c>
      <c r="E52" s="1" t="s">
        <v>101</v>
      </c>
      <c r="F52" s="5" t="s">
        <v>31</v>
      </c>
      <c r="G52" s="1">
        <v>768141.0</v>
      </c>
      <c r="H52" s="1">
        <v>323.0</v>
      </c>
      <c r="I52" s="8">
        <v>2378.1455108359132</v>
      </c>
      <c r="J52" s="1">
        <v>1155.0</v>
      </c>
      <c r="K52" s="8">
        <v>3.5758513931888545</v>
      </c>
      <c r="L52" s="1">
        <v>18.0</v>
      </c>
      <c r="M52" s="8">
        <v>0.007568922893062602</v>
      </c>
      <c r="N52" s="1">
        <v>1152.0</v>
      </c>
      <c r="O52" s="8">
        <v>0.4844110651560065</v>
      </c>
      <c r="P52" s="1">
        <v>1.0</v>
      </c>
      <c r="Q52" s="1">
        <f t="shared" si="6"/>
        <v>646</v>
      </c>
      <c r="R52" s="1">
        <f>J52*Assumptions!$E$19</f>
        <v>300.3</v>
      </c>
      <c r="S52" s="3">
        <f>G52*Assumptions!$E$10*Assumptions!$E$6+J52*Assumptions!$E$7+M52*Assumptions!$E$13*Assumptions!$E$6+N52*Assumptions!$E$12*Assumptions!$E$6+Q52*Assumptions!$E$15*Assumptions!$E$6</f>
        <v>450989.1909</v>
      </c>
      <c r="T52" s="3">
        <f>R52*Assumptions!$E$20-H52*Assumptions!$E$21</f>
        <v>235700</v>
      </c>
      <c r="U52" s="3">
        <f t="shared" si="7"/>
        <v>686689.1909</v>
      </c>
      <c r="V52" s="4">
        <f>U52/H52/Assumptions!$E$21</f>
        <v>10.62986364</v>
      </c>
      <c r="W52" s="3">
        <f t="shared" si="8"/>
        <v>0.9297213622</v>
      </c>
    </row>
    <row r="53" ht="15.75" customHeight="1">
      <c r="A53" s="1" t="s">
        <v>99</v>
      </c>
      <c r="B53" s="1" t="s">
        <v>102</v>
      </c>
      <c r="D53" s="1">
        <v>291.0</v>
      </c>
      <c r="E53" s="1" t="s">
        <v>103</v>
      </c>
      <c r="F53" s="5" t="s">
        <v>31</v>
      </c>
      <c r="G53" s="1">
        <v>299074.0</v>
      </c>
      <c r="H53" s="1">
        <v>279.0</v>
      </c>
      <c r="I53" s="8">
        <v>1071.9498207885304</v>
      </c>
      <c r="J53" s="1">
        <v>786.0</v>
      </c>
      <c r="K53" s="8">
        <v>2.817204301075269</v>
      </c>
      <c r="L53" s="1">
        <v>25.0</v>
      </c>
      <c r="M53" s="8">
        <v>0.023321987200492188</v>
      </c>
      <c r="N53" s="1">
        <v>3379.0</v>
      </c>
      <c r="O53" s="8">
        <v>3.1521997900185244</v>
      </c>
      <c r="P53" s="1">
        <v>4.0</v>
      </c>
      <c r="Q53" s="1">
        <f t="shared" si="6"/>
        <v>558</v>
      </c>
      <c r="R53" s="1">
        <f>J53*Assumptions!$E$19</f>
        <v>204.36</v>
      </c>
      <c r="S53" s="3">
        <f>G53*Assumptions!$E$10*Assumptions!$E$6+J53*Assumptions!$E$7+M53*Assumptions!$E$13*Assumptions!$E$6+N53*Assumptions!$E$12*Assumptions!$E$6+Q53*Assumptions!$E$15*Assumptions!$E$6</f>
        <v>363724.2911</v>
      </c>
      <c r="T53" s="3">
        <f>R53*Assumptions!$E$20-H53*Assumptions!$E$21</f>
        <v>148560</v>
      </c>
      <c r="U53" s="3">
        <f t="shared" si="7"/>
        <v>512284.2911</v>
      </c>
      <c r="V53" s="4">
        <f>U53/H53/Assumptions!$E$21</f>
        <v>9.180722063</v>
      </c>
      <c r="W53" s="3">
        <f t="shared" si="8"/>
        <v>0.7324731183</v>
      </c>
    </row>
    <row r="54" ht="15.75" customHeight="1">
      <c r="A54" s="1" t="s">
        <v>99</v>
      </c>
      <c r="B54" s="1" t="s">
        <v>85</v>
      </c>
      <c r="D54" s="1">
        <v>209.0</v>
      </c>
      <c r="E54" s="1" t="s">
        <v>104</v>
      </c>
      <c r="F54" s="5" t="s">
        <v>31</v>
      </c>
      <c r="G54" s="1">
        <v>241861.0</v>
      </c>
      <c r="H54" s="1">
        <v>87.0</v>
      </c>
      <c r="I54" s="8">
        <v>2780.0114942528735</v>
      </c>
      <c r="J54" s="1">
        <v>748.0</v>
      </c>
      <c r="K54" s="8">
        <v>8.597701149425287</v>
      </c>
      <c r="L54" s="1">
        <v>15.0</v>
      </c>
      <c r="M54" s="8">
        <v>0.005395661144210931</v>
      </c>
      <c r="N54" s="1">
        <v>1200.0</v>
      </c>
      <c r="O54" s="8">
        <v>0.4316528915368745</v>
      </c>
      <c r="P54" s="1">
        <v>1.0</v>
      </c>
      <c r="Q54" s="1">
        <f t="shared" si="6"/>
        <v>174</v>
      </c>
      <c r="R54" s="1">
        <f>J54*Assumptions!$E$19</f>
        <v>194.48</v>
      </c>
      <c r="S54" s="3">
        <f>G54*Assumptions!$E$10*Assumptions!$E$6+J54*Assumptions!$E$7+M54*Assumptions!$E$13*Assumptions!$E$6+N54*Assumptions!$E$12*Assumptions!$E$6+Q54*Assumptions!$E$15*Assumptions!$E$6</f>
        <v>275224.5823</v>
      </c>
      <c r="T54" s="3">
        <f>R54*Assumptions!$E$20-H54*Assumptions!$E$21</f>
        <v>177080</v>
      </c>
      <c r="U54" s="3">
        <f t="shared" si="7"/>
        <v>452304.5823</v>
      </c>
      <c r="V54" s="4">
        <f>U54/H54/Assumptions!$E$21</f>
        <v>25.99451622</v>
      </c>
      <c r="W54" s="3">
        <f t="shared" si="8"/>
        <v>2.235402299</v>
      </c>
    </row>
    <row r="55" ht="15.75" customHeight="1">
      <c r="A55" s="1" t="s">
        <v>99</v>
      </c>
      <c r="B55" s="1" t="s">
        <v>105</v>
      </c>
      <c r="D55" s="1">
        <v>192.0</v>
      </c>
      <c r="E55" s="1" t="s">
        <v>106</v>
      </c>
      <c r="F55" s="5" t="s">
        <v>31</v>
      </c>
      <c r="G55" s="1">
        <v>65368.0</v>
      </c>
      <c r="H55" s="1">
        <v>50.0</v>
      </c>
      <c r="I55" s="8">
        <v>1307.36</v>
      </c>
      <c r="J55" s="1">
        <v>25.0</v>
      </c>
      <c r="K55" s="8">
        <v>0.5</v>
      </c>
      <c r="L55" s="1">
        <v>16.0</v>
      </c>
      <c r="M55" s="8">
        <v>0.012238404112103782</v>
      </c>
      <c r="N55" s="1">
        <v>709.0</v>
      </c>
      <c r="O55" s="8">
        <v>0.5423142822175989</v>
      </c>
      <c r="P55" s="1">
        <v>5.0</v>
      </c>
      <c r="Q55" s="1">
        <f t="shared" si="6"/>
        <v>100</v>
      </c>
      <c r="R55" s="1">
        <f>J55*Assumptions!$E$19</f>
        <v>6.5</v>
      </c>
      <c r="S55" s="3">
        <f>G55*Assumptions!$E$10*Assumptions!$E$6+J55*Assumptions!$E$7+M55*Assumptions!$E$13*Assumptions!$E$6+N55*Assumptions!$E$12*Assumptions!$E$6+Q55*Assumptions!$E$15*Assumptions!$E$6</f>
        <v>34211.11192</v>
      </c>
      <c r="T55" s="3">
        <f>R55*Assumptions!$E$20-H55*Assumptions!$E$21</f>
        <v>-3500</v>
      </c>
      <c r="U55" s="3">
        <f t="shared" si="7"/>
        <v>30711.11192</v>
      </c>
      <c r="V55" s="4">
        <f>U55/H55/Assumptions!$E$21</f>
        <v>3.071111192</v>
      </c>
      <c r="W55" s="3">
        <f t="shared" si="8"/>
        <v>0.13</v>
      </c>
    </row>
    <row r="56" ht="15.75" customHeight="1">
      <c r="A56" s="1" t="s">
        <v>99</v>
      </c>
      <c r="B56" s="1" t="s">
        <v>107</v>
      </c>
      <c r="D56" s="1">
        <v>102.0</v>
      </c>
      <c r="E56" s="1" t="s">
        <v>107</v>
      </c>
      <c r="F56" s="5" t="s">
        <v>39</v>
      </c>
      <c r="G56" s="1">
        <v>51924.0</v>
      </c>
      <c r="H56" s="1">
        <v>32.0</v>
      </c>
      <c r="I56" s="8">
        <v>1622.625</v>
      </c>
      <c r="J56" s="1">
        <v>0.0</v>
      </c>
      <c r="K56" s="8">
        <v>0.0</v>
      </c>
      <c r="L56" s="1">
        <v>38.0</v>
      </c>
      <c r="M56" s="8">
        <v>0.023418842924273937</v>
      </c>
      <c r="N56" s="1">
        <v>1040.0</v>
      </c>
      <c r="O56" s="8">
        <v>0.640936753716971</v>
      </c>
      <c r="P56" s="1">
        <v>2.0</v>
      </c>
      <c r="Q56" s="1">
        <f t="shared" si="6"/>
        <v>64</v>
      </c>
      <c r="R56" s="1">
        <f>J56*Assumptions!$E$19</f>
        <v>0</v>
      </c>
      <c r="S56" s="3">
        <f>G56*Assumptions!$E$10*Assumptions!$E$6+J56*Assumptions!$E$7+M56*Assumptions!$E$13*Assumptions!$E$6+N56*Assumptions!$E$12*Assumptions!$E$6+Q56*Assumptions!$E$15*Assumptions!$E$6</f>
        <v>32446.42094</v>
      </c>
      <c r="T56" s="3">
        <f>R56*Assumptions!$E$20-H56*Assumptions!$E$21</f>
        <v>-6400</v>
      </c>
      <c r="U56" s="3">
        <f t="shared" si="7"/>
        <v>26046.42094</v>
      </c>
      <c r="V56" s="4">
        <f>U56/H56/Assumptions!$E$21</f>
        <v>4.069753272</v>
      </c>
      <c r="W56" s="3">
        <f t="shared" si="8"/>
        <v>0</v>
      </c>
    </row>
    <row r="57" ht="15.75" customHeight="1">
      <c r="A57" s="1" t="s">
        <v>99</v>
      </c>
      <c r="B57" s="1" t="s">
        <v>85</v>
      </c>
      <c r="D57" s="1">
        <v>215.0</v>
      </c>
      <c r="E57" s="1" t="s">
        <v>108</v>
      </c>
      <c r="F57" s="5" t="s">
        <v>39</v>
      </c>
      <c r="G57" s="1">
        <v>86416.0</v>
      </c>
      <c r="H57" s="1">
        <v>32.0</v>
      </c>
      <c r="I57" s="8">
        <v>2700.5</v>
      </c>
      <c r="J57" s="1">
        <v>241.0</v>
      </c>
      <c r="K57" s="8">
        <v>7.53125</v>
      </c>
      <c r="L57" s="1">
        <v>5.0</v>
      </c>
      <c r="M57" s="8">
        <v>0.0018515089798185522</v>
      </c>
      <c r="N57" s="1">
        <v>329.0</v>
      </c>
      <c r="O57" s="8">
        <v>0.12182929087206074</v>
      </c>
      <c r="P57" s="1">
        <v>1.0</v>
      </c>
      <c r="Q57" s="1">
        <f t="shared" si="6"/>
        <v>64</v>
      </c>
      <c r="R57" s="1">
        <f>J57*Assumptions!$E$19</f>
        <v>62.66</v>
      </c>
      <c r="S57" s="3">
        <f>G57*Assumptions!$E$10*Assumptions!$E$6+J57*Assumptions!$E$7+M57*Assumptions!$E$13*Assumptions!$E$6+N57*Assumptions!$E$12*Assumptions!$E$6+Q57*Assumptions!$E$15*Assumptions!$E$6</f>
        <v>88162.09258</v>
      </c>
      <c r="T57" s="3">
        <f>R57*Assumptions!$E$20-H57*Assumptions!$E$21</f>
        <v>56260</v>
      </c>
      <c r="U57" s="3">
        <f t="shared" si="7"/>
        <v>144422.0926</v>
      </c>
      <c r="V57" s="4">
        <f>U57/H57/Assumptions!$E$21</f>
        <v>22.56595196</v>
      </c>
      <c r="W57" s="3">
        <f t="shared" si="8"/>
        <v>1.958125</v>
      </c>
    </row>
    <row r="58" ht="15.75" customHeight="1">
      <c r="A58" s="1" t="s">
        <v>99</v>
      </c>
      <c r="B58" s="1" t="s">
        <v>109</v>
      </c>
      <c r="D58" s="1">
        <v>110.0</v>
      </c>
      <c r="E58" s="1" t="s">
        <v>110</v>
      </c>
      <c r="F58" s="5" t="s">
        <v>39</v>
      </c>
      <c r="G58" s="1">
        <v>0.0</v>
      </c>
      <c r="H58" s="1">
        <v>29.0</v>
      </c>
      <c r="I58" s="8">
        <v>0.0</v>
      </c>
      <c r="J58" s="1">
        <v>0.0</v>
      </c>
      <c r="K58" s="8">
        <v>0.0</v>
      </c>
      <c r="L58" s="1">
        <v>4.0</v>
      </c>
      <c r="M58" s="8">
        <v>0.0</v>
      </c>
      <c r="N58" s="1">
        <v>139.0</v>
      </c>
      <c r="O58" s="8">
        <v>0.0</v>
      </c>
      <c r="P58" s="1">
        <v>1.0</v>
      </c>
      <c r="Q58" s="1">
        <f t="shared" si="6"/>
        <v>58</v>
      </c>
      <c r="R58" s="1">
        <f>J58*Assumptions!$E$19</f>
        <v>0</v>
      </c>
      <c r="S58" s="3">
        <f>G58*Assumptions!$E$10*Assumptions!$E$6+J58*Assumptions!$E$7+M58*Assumptions!$E$13*Assumptions!$E$6+N58*Assumptions!$E$12*Assumptions!$E$6+Q58*Assumptions!$E$15*Assumptions!$E$6</f>
        <v>6375</v>
      </c>
      <c r="T58" s="3">
        <f>R58*Assumptions!$E$20-H58*Assumptions!$E$21</f>
        <v>-5800</v>
      </c>
      <c r="U58" s="3">
        <f t="shared" si="7"/>
        <v>575</v>
      </c>
      <c r="V58" s="4">
        <f>U58/H58/Assumptions!$E$21</f>
        <v>0.09913793103</v>
      </c>
      <c r="W58" s="3">
        <f t="shared" si="8"/>
        <v>0</v>
      </c>
    </row>
    <row r="59" ht="15.75" customHeight="1">
      <c r="A59" s="1" t="s">
        <v>99</v>
      </c>
      <c r="B59" s="1" t="s">
        <v>109</v>
      </c>
      <c r="D59" s="1">
        <v>109.0</v>
      </c>
      <c r="E59" s="1" t="s">
        <v>111</v>
      </c>
      <c r="F59" s="5" t="s">
        <v>39</v>
      </c>
      <c r="G59" s="1">
        <v>0.0</v>
      </c>
      <c r="H59" s="1">
        <v>24.0</v>
      </c>
      <c r="I59" s="8">
        <v>0.0</v>
      </c>
      <c r="J59" s="1">
        <v>0.0</v>
      </c>
      <c r="K59" s="8">
        <v>0.0</v>
      </c>
      <c r="L59" s="1">
        <v>5.0</v>
      </c>
      <c r="M59" s="8">
        <v>0.0</v>
      </c>
      <c r="N59" s="1">
        <v>232.0</v>
      </c>
      <c r="O59" s="8">
        <v>0.0</v>
      </c>
      <c r="P59" s="1">
        <v>5.0</v>
      </c>
      <c r="Q59" s="1">
        <f t="shared" si="6"/>
        <v>48</v>
      </c>
      <c r="R59" s="1">
        <f>J59*Assumptions!$E$19</f>
        <v>0</v>
      </c>
      <c r="S59" s="3">
        <f>G59*Assumptions!$E$10*Assumptions!$E$6+J59*Assumptions!$E$7+M59*Assumptions!$E$13*Assumptions!$E$6+N59*Assumptions!$E$12*Assumptions!$E$6+Q59*Assumptions!$E$15*Assumptions!$E$6</f>
        <v>8200</v>
      </c>
      <c r="T59" s="3">
        <f>R59*Assumptions!$E$20-H59*Assumptions!$E$21</f>
        <v>-4800</v>
      </c>
      <c r="U59" s="3">
        <f t="shared" si="7"/>
        <v>3400</v>
      </c>
      <c r="V59" s="4">
        <f>U59/H59/Assumptions!$E$21</f>
        <v>0.7083333333</v>
      </c>
      <c r="W59" s="3">
        <f t="shared" si="8"/>
        <v>0</v>
      </c>
    </row>
    <row r="60" ht="15.75" customHeight="1">
      <c r="A60" s="1" t="s">
        <v>112</v>
      </c>
      <c r="B60" s="1" t="s">
        <v>113</v>
      </c>
      <c r="D60" s="1">
        <v>281.0</v>
      </c>
      <c r="E60" s="1" t="s">
        <v>114</v>
      </c>
      <c r="F60" s="5" t="s">
        <v>31</v>
      </c>
      <c r="G60" s="1">
        <v>176131.0</v>
      </c>
      <c r="H60" s="1">
        <v>1196.0</v>
      </c>
      <c r="I60" s="8">
        <v>147.26672240802677</v>
      </c>
      <c r="J60" s="1">
        <v>517.0</v>
      </c>
      <c r="K60" s="8">
        <v>0.4322742474916388</v>
      </c>
      <c r="L60" s="1">
        <v>41.0</v>
      </c>
      <c r="M60" s="8">
        <v>0.2784064134082018</v>
      </c>
      <c r="N60" s="1">
        <v>3863.0</v>
      </c>
      <c r="O60" s="8">
        <v>26.231316463314236</v>
      </c>
      <c r="P60" s="1">
        <v>10.0</v>
      </c>
      <c r="Q60" s="1">
        <f t="shared" si="6"/>
        <v>2392</v>
      </c>
      <c r="R60" s="1">
        <f>J60*Assumptions!$E$19</f>
        <v>134.42</v>
      </c>
      <c r="S60" s="3">
        <f>G60*Assumptions!$E$10*Assumptions!$E$6+J60*Assumptions!$E$7+M60*Assumptions!$E$13*Assumptions!$E$6+N60*Assumptions!$E$12*Assumptions!$E$6+Q60*Assumptions!$E$15*Assumptions!$E$6</f>
        <v>380229.1078</v>
      </c>
      <c r="T60" s="3">
        <f>R60*Assumptions!$E$20-H60*Assumptions!$E$21</f>
        <v>-104780</v>
      </c>
      <c r="U60" s="3">
        <f t="shared" si="7"/>
        <v>275449.1078</v>
      </c>
      <c r="V60" s="4">
        <f>U60/H60/Assumptions!$E$21</f>
        <v>1.151543093</v>
      </c>
      <c r="W60" s="3">
        <f t="shared" si="8"/>
        <v>0.1123913043</v>
      </c>
    </row>
    <row r="61" ht="15.75" customHeight="1">
      <c r="A61" s="1" t="s">
        <v>112</v>
      </c>
      <c r="B61" s="1" t="s">
        <v>113</v>
      </c>
      <c r="D61" s="1">
        <v>153.0</v>
      </c>
      <c r="E61" s="1" t="s">
        <v>115</v>
      </c>
      <c r="F61" s="5" t="s">
        <v>31</v>
      </c>
      <c r="G61" s="1">
        <v>205216.0</v>
      </c>
      <c r="H61" s="1">
        <v>434.0</v>
      </c>
      <c r="I61" s="8">
        <v>472.8479262672811</v>
      </c>
      <c r="J61" s="1">
        <v>1185.0</v>
      </c>
      <c r="K61" s="8">
        <v>2.730414746543779</v>
      </c>
      <c r="L61" s="1">
        <v>195.0</v>
      </c>
      <c r="M61" s="8">
        <v>0.412394745049119</v>
      </c>
      <c r="N61" s="1">
        <v>2823.0</v>
      </c>
      <c r="O61" s="8">
        <v>5.970207001403399</v>
      </c>
      <c r="P61" s="1">
        <v>9.0</v>
      </c>
      <c r="Q61" s="1">
        <f t="shared" si="6"/>
        <v>868</v>
      </c>
      <c r="R61" s="1">
        <f>J61*Assumptions!$E$19</f>
        <v>308.1</v>
      </c>
      <c r="S61" s="3">
        <f>G61*Assumptions!$E$10*Assumptions!$E$6+J61*Assumptions!$E$7+M61*Assumptions!$E$13*Assumptions!$E$6+N61*Assumptions!$E$12*Assumptions!$E$6+Q61*Assumptions!$E$15*Assumptions!$E$6</f>
        <v>477581.6197</v>
      </c>
      <c r="T61" s="3">
        <f>R61*Assumptions!$E$20-H61*Assumptions!$E$21</f>
        <v>221300</v>
      </c>
      <c r="U61" s="3">
        <f t="shared" si="7"/>
        <v>698881.6197</v>
      </c>
      <c r="V61" s="4">
        <f>U61/H61/Assumptions!$E$21</f>
        <v>8.051631564</v>
      </c>
      <c r="W61" s="3">
        <f t="shared" si="8"/>
        <v>0.7099078341</v>
      </c>
    </row>
    <row r="62" ht="15.75" customHeight="1">
      <c r="A62" s="1" t="s">
        <v>112</v>
      </c>
      <c r="B62" s="1" t="s">
        <v>113</v>
      </c>
      <c r="D62" s="1">
        <v>283.0</v>
      </c>
      <c r="E62" s="1" t="s">
        <v>116</v>
      </c>
      <c r="F62" s="5" t="s">
        <v>31</v>
      </c>
      <c r="G62" s="1">
        <v>77824.0</v>
      </c>
      <c r="H62" s="1">
        <v>85.0</v>
      </c>
      <c r="I62" s="8">
        <v>915.5764705882353</v>
      </c>
      <c r="J62" s="1">
        <v>201.0</v>
      </c>
      <c r="K62" s="8">
        <v>2.364705882352941</v>
      </c>
      <c r="L62" s="1">
        <v>7.0</v>
      </c>
      <c r="M62" s="8">
        <v>0.007645456414473684</v>
      </c>
      <c r="N62" s="1">
        <v>405.0</v>
      </c>
      <c r="O62" s="8">
        <v>0.44234426398026316</v>
      </c>
      <c r="P62" s="1">
        <v>3.0</v>
      </c>
      <c r="Q62" s="1">
        <f t="shared" si="6"/>
        <v>170</v>
      </c>
      <c r="R62" s="1">
        <f>J62*Assumptions!$E$19</f>
        <v>52.26</v>
      </c>
      <c r="S62" s="3">
        <f>G62*Assumptions!$E$10*Assumptions!$E$6+J62*Assumptions!$E$7+M62*Assumptions!$E$13*Assumptions!$E$6+N62*Assumptions!$E$12*Assumptions!$E$6+Q62*Assumptions!$E$15*Assumptions!$E$6</f>
        <v>82985.38227</v>
      </c>
      <c r="T62" s="3">
        <f>R62*Assumptions!$E$20-H62*Assumptions!$E$21</f>
        <v>35260</v>
      </c>
      <c r="U62" s="3">
        <f t="shared" si="7"/>
        <v>118245.3823</v>
      </c>
      <c r="V62" s="4">
        <f>U62/H62/Assumptions!$E$21</f>
        <v>6.955610722</v>
      </c>
      <c r="W62" s="3">
        <f t="shared" si="8"/>
        <v>0.6148235294</v>
      </c>
    </row>
    <row r="63" ht="15.75" customHeight="1">
      <c r="A63" s="1" t="s">
        <v>112</v>
      </c>
      <c r="B63" s="1" t="s">
        <v>113</v>
      </c>
      <c r="D63" s="1">
        <v>142.0</v>
      </c>
      <c r="E63" s="1" t="s">
        <v>117</v>
      </c>
      <c r="F63" s="5" t="s">
        <v>31</v>
      </c>
      <c r="G63" s="1">
        <v>68462.0</v>
      </c>
      <c r="H63" s="1">
        <v>67.0</v>
      </c>
      <c r="I63" s="8">
        <v>1021.820895522388</v>
      </c>
      <c r="J63" s="1">
        <v>249.0</v>
      </c>
      <c r="K63" s="8">
        <v>3.716417910447761</v>
      </c>
      <c r="L63" s="1">
        <v>6.0</v>
      </c>
      <c r="M63" s="8">
        <v>0.005871870526715551</v>
      </c>
      <c r="N63" s="1">
        <v>335.0</v>
      </c>
      <c r="O63" s="8">
        <v>0.3278461044082849</v>
      </c>
      <c r="P63" s="1">
        <v>1.0</v>
      </c>
      <c r="Q63" s="1">
        <f t="shared" si="6"/>
        <v>134</v>
      </c>
      <c r="R63" s="1">
        <f>J63*Assumptions!$E$19</f>
        <v>64.74</v>
      </c>
      <c r="S63" s="3">
        <f>G63*Assumptions!$E$10*Assumptions!$E$6+J63*Assumptions!$E$7+M63*Assumptions!$E$13*Assumptions!$E$6+N63*Assumptions!$E$12*Assumptions!$E$6+Q63*Assumptions!$E$15*Assumptions!$E$6</f>
        <v>93058.16859</v>
      </c>
      <c r="T63" s="3">
        <f>R63*Assumptions!$E$20-H63*Assumptions!$E$21</f>
        <v>51340</v>
      </c>
      <c r="U63" s="3">
        <f t="shared" si="7"/>
        <v>144398.1686</v>
      </c>
      <c r="V63" s="4">
        <f>U63/H63/Assumptions!$E$21</f>
        <v>10.77598273</v>
      </c>
      <c r="W63" s="3">
        <f t="shared" si="8"/>
        <v>0.9662686567</v>
      </c>
    </row>
    <row r="64" ht="15.75" customHeight="1">
      <c r="A64" s="1" t="s">
        <v>112</v>
      </c>
      <c r="B64" s="1" t="s">
        <v>113</v>
      </c>
      <c r="D64" s="1">
        <v>158.0</v>
      </c>
      <c r="E64" s="1" t="s">
        <v>118</v>
      </c>
      <c r="F64" s="5" t="s">
        <v>31</v>
      </c>
      <c r="G64" s="1">
        <v>42981.0</v>
      </c>
      <c r="H64" s="1">
        <v>39.0</v>
      </c>
      <c r="I64" s="8">
        <v>1102.076923076923</v>
      </c>
      <c r="J64" s="1">
        <v>117.0</v>
      </c>
      <c r="K64" s="8">
        <v>3.0</v>
      </c>
      <c r="L64" s="1">
        <v>2.0</v>
      </c>
      <c r="M64" s="8">
        <v>0.0018147553570182172</v>
      </c>
      <c r="N64" s="1">
        <v>249.0</v>
      </c>
      <c r="O64" s="8">
        <v>0.22593704194876807</v>
      </c>
      <c r="P64" s="1">
        <v>1.0</v>
      </c>
      <c r="Q64" s="1">
        <f t="shared" si="6"/>
        <v>78</v>
      </c>
      <c r="R64" s="1">
        <f>J64*Assumptions!$E$19</f>
        <v>30.42</v>
      </c>
      <c r="S64" s="3">
        <f>G64*Assumptions!$E$10*Assumptions!$E$6+J64*Assumptions!$E$7+M64*Assumptions!$E$13*Assumptions!$E$6+N64*Assumptions!$E$12*Assumptions!$E$6+Q64*Assumptions!$E$15*Assumptions!$E$6</f>
        <v>47443.40324</v>
      </c>
      <c r="T64" s="3">
        <f>R64*Assumptions!$E$20-H64*Assumptions!$E$21</f>
        <v>22620</v>
      </c>
      <c r="U64" s="3">
        <f t="shared" si="7"/>
        <v>70063.40324</v>
      </c>
      <c r="V64" s="4">
        <f>U64/H64/Assumptions!$E$21</f>
        <v>8.982487595</v>
      </c>
      <c r="W64" s="3">
        <f t="shared" si="8"/>
        <v>0.78</v>
      </c>
    </row>
    <row r="65" ht="15.75" customHeight="1">
      <c r="A65" s="1" t="s">
        <v>119</v>
      </c>
      <c r="B65" s="1" t="s">
        <v>82</v>
      </c>
      <c r="D65" s="1">
        <v>79.0</v>
      </c>
      <c r="E65" s="1" t="s">
        <v>120</v>
      </c>
      <c r="F65" s="5" t="s">
        <v>31</v>
      </c>
      <c r="G65" s="1">
        <v>623931.0</v>
      </c>
      <c r="H65" s="1">
        <v>1321.0</v>
      </c>
      <c r="I65" s="8">
        <v>472.31718395155184</v>
      </c>
      <c r="J65" s="1">
        <v>1508.0</v>
      </c>
      <c r="K65" s="8">
        <v>1.141559424678274</v>
      </c>
      <c r="L65" s="1">
        <v>1565.0</v>
      </c>
      <c r="M65" s="8">
        <v>3.3134513271499575</v>
      </c>
      <c r="N65" s="1">
        <v>14400.0</v>
      </c>
      <c r="O65" s="8">
        <v>30.487986652370214</v>
      </c>
      <c r="P65" s="1">
        <v>185.0</v>
      </c>
      <c r="Q65" s="1">
        <f t="shared" si="6"/>
        <v>2642</v>
      </c>
      <c r="R65" s="1">
        <f>J65*Assumptions!$E$19</f>
        <v>392.08</v>
      </c>
      <c r="S65" s="3">
        <f>G65*Assumptions!$E$10*Assumptions!$E$6+J65*Assumptions!$E$7+M65*Assumptions!$E$13*Assumptions!$E$6+N65*Assumptions!$E$12*Assumptions!$E$6+Q65*Assumptions!$E$15*Assumptions!$E$6</f>
        <v>977629.3601</v>
      </c>
      <c r="T65" s="3">
        <f>R65*Assumptions!$E$20-H65*Assumptions!$E$21</f>
        <v>127880</v>
      </c>
      <c r="U65" s="3">
        <f t="shared" si="7"/>
        <v>1105509.36</v>
      </c>
      <c r="V65" s="4">
        <f>U65/H65/Assumptions!$E$21</f>
        <v>4.184365481</v>
      </c>
      <c r="W65" s="3">
        <f t="shared" si="8"/>
        <v>0.2968054504</v>
      </c>
    </row>
    <row r="66" ht="15.75" customHeight="1">
      <c r="A66" s="1" t="s">
        <v>119</v>
      </c>
      <c r="B66" s="1" t="s">
        <v>82</v>
      </c>
      <c r="D66" s="1">
        <v>29.0</v>
      </c>
      <c r="E66" s="1" t="s">
        <v>121</v>
      </c>
      <c r="F66" s="5" t="s">
        <v>31</v>
      </c>
      <c r="G66" s="1">
        <v>174156.0</v>
      </c>
      <c r="H66" s="1">
        <v>159.0</v>
      </c>
      <c r="I66" s="8">
        <v>1095.3207547169811</v>
      </c>
      <c r="J66" s="1">
        <v>0.0</v>
      </c>
      <c r="K66" s="8">
        <v>0.0</v>
      </c>
      <c r="L66" s="1">
        <v>21.0</v>
      </c>
      <c r="M66" s="8">
        <v>0.019172466064907325</v>
      </c>
      <c r="N66" s="1">
        <v>742.0</v>
      </c>
      <c r="O66" s="8">
        <v>0.6774271342933922</v>
      </c>
      <c r="P66" s="1">
        <v>5.0</v>
      </c>
      <c r="Q66" s="1">
        <f t="shared" si="6"/>
        <v>318</v>
      </c>
      <c r="R66" s="1">
        <f>J66*Assumptions!$E$19</f>
        <v>0</v>
      </c>
      <c r="S66" s="3">
        <f>G66*Assumptions!$E$10*Assumptions!$E$6+J66*Assumptions!$E$7+M66*Assumptions!$E$13*Assumptions!$E$6+N66*Assumptions!$E$12*Assumptions!$E$6+Q66*Assumptions!$E$15*Assumptions!$E$6</f>
        <v>45335.70862</v>
      </c>
      <c r="T66" s="3">
        <f>R66*Assumptions!$E$20-H66*Assumptions!$E$21</f>
        <v>-31800</v>
      </c>
      <c r="U66" s="3">
        <f t="shared" si="7"/>
        <v>13535.70862</v>
      </c>
      <c r="V66" s="4">
        <f>U66/H66/Assumptions!$E$21</f>
        <v>0.4256512146</v>
      </c>
      <c r="W66" s="3">
        <f t="shared" si="8"/>
        <v>0</v>
      </c>
    </row>
    <row r="67" ht="15.75" customHeight="1">
      <c r="A67" s="1" t="s">
        <v>119</v>
      </c>
      <c r="B67" s="1" t="s">
        <v>82</v>
      </c>
      <c r="D67" s="1">
        <v>317.0</v>
      </c>
      <c r="E67" s="1" t="s">
        <v>122</v>
      </c>
      <c r="F67" s="5" t="s">
        <v>31</v>
      </c>
      <c r="G67" s="1">
        <v>100498.0</v>
      </c>
      <c r="H67" s="1">
        <v>140.0</v>
      </c>
      <c r="I67" s="8">
        <v>717.8428571428572</v>
      </c>
      <c r="J67" s="1">
        <v>181.0</v>
      </c>
      <c r="K67" s="8">
        <v>1.292857142857143</v>
      </c>
      <c r="L67" s="1">
        <v>2.0</v>
      </c>
      <c r="M67" s="8">
        <v>0.002786125097016856</v>
      </c>
      <c r="N67" s="1">
        <v>91.0</v>
      </c>
      <c r="O67" s="8">
        <v>0.12676869191426696</v>
      </c>
      <c r="P67" s="1">
        <v>2.0</v>
      </c>
      <c r="Q67" s="1">
        <f t="shared" si="6"/>
        <v>280</v>
      </c>
      <c r="R67" s="1">
        <f>J67*Assumptions!$E$19</f>
        <v>47.06</v>
      </c>
      <c r="S67" s="3">
        <f>G67*Assumptions!$E$10*Assumptions!$E$6+J67*Assumptions!$E$7+M67*Assumptions!$E$13*Assumptions!$E$6+N67*Assumptions!$E$12*Assumptions!$E$6+Q67*Assumptions!$E$15*Assumptions!$E$6</f>
        <v>76132.26431</v>
      </c>
      <c r="T67" s="3">
        <f>R67*Assumptions!$E$20-H67*Assumptions!$E$21</f>
        <v>19060</v>
      </c>
      <c r="U67" s="3">
        <f t="shared" si="7"/>
        <v>95192.26431</v>
      </c>
      <c r="V67" s="4">
        <f>U67/H67/Assumptions!$E$21</f>
        <v>3.399723725</v>
      </c>
      <c r="W67" s="3">
        <f t="shared" si="8"/>
        <v>0.3361428571</v>
      </c>
    </row>
    <row r="68" ht="15.75" customHeight="1">
      <c r="A68" s="1" t="s">
        <v>119</v>
      </c>
      <c r="B68" s="1" t="s">
        <v>82</v>
      </c>
      <c r="D68" s="1">
        <v>205.0</v>
      </c>
      <c r="E68" s="1" t="s">
        <v>123</v>
      </c>
      <c r="F68" s="5" t="s">
        <v>31</v>
      </c>
      <c r="G68" s="1">
        <v>111381.0</v>
      </c>
      <c r="H68" s="1">
        <v>134.0</v>
      </c>
      <c r="I68" s="8">
        <v>831.2014925373135</v>
      </c>
      <c r="J68" s="1">
        <v>178.0</v>
      </c>
      <c r="K68" s="8">
        <v>1.328358208955224</v>
      </c>
      <c r="L68" s="1">
        <v>69.0</v>
      </c>
      <c r="M68" s="8">
        <v>0.08301236297034503</v>
      </c>
      <c r="N68" s="1">
        <v>526.0</v>
      </c>
      <c r="O68" s="8">
        <v>0.6328188829333549</v>
      </c>
      <c r="P68" s="1">
        <v>6.0</v>
      </c>
      <c r="Q68" s="1">
        <f t="shared" si="6"/>
        <v>268</v>
      </c>
      <c r="R68" s="1">
        <f>J68*Assumptions!$E$19</f>
        <v>46.28</v>
      </c>
      <c r="S68" s="3">
        <f>G68*Assumptions!$E$10*Assumptions!$E$6+J68*Assumptions!$E$7+M68*Assumptions!$E$13*Assumptions!$E$6+N68*Assumptions!$E$12*Assumptions!$E$6+Q68*Assumptions!$E$15*Assumptions!$E$6</f>
        <v>86203.46312</v>
      </c>
      <c r="T68" s="3">
        <f>R68*Assumptions!$E$20-H68*Assumptions!$E$21</f>
        <v>19480</v>
      </c>
      <c r="U68" s="3">
        <f t="shared" si="7"/>
        <v>105683.4631</v>
      </c>
      <c r="V68" s="4">
        <f>U68/H68/Assumptions!$E$21</f>
        <v>3.943412803</v>
      </c>
      <c r="W68" s="3">
        <f t="shared" si="8"/>
        <v>0.3453731343</v>
      </c>
    </row>
    <row r="69" ht="15.75" customHeight="1">
      <c r="A69" s="1" t="s">
        <v>119</v>
      </c>
      <c r="B69" s="1" t="s">
        <v>82</v>
      </c>
      <c r="D69" s="1">
        <v>22.0</v>
      </c>
      <c r="E69" s="1" t="s">
        <v>124</v>
      </c>
      <c r="F69" s="5" t="s">
        <v>31</v>
      </c>
      <c r="G69" s="1">
        <v>86383.0</v>
      </c>
      <c r="H69" s="1">
        <v>126.0</v>
      </c>
      <c r="I69" s="8">
        <v>685.5793650793651</v>
      </c>
      <c r="J69" s="1">
        <v>0.0</v>
      </c>
      <c r="K69" s="8">
        <v>0.0</v>
      </c>
      <c r="L69" s="1">
        <v>28.0</v>
      </c>
      <c r="M69" s="8">
        <v>0.04084136925089427</v>
      </c>
      <c r="N69" s="1">
        <v>601.0</v>
      </c>
      <c r="O69" s="8">
        <v>0.8766308185638378</v>
      </c>
      <c r="P69" s="1">
        <v>5.0</v>
      </c>
      <c r="Q69" s="1">
        <f t="shared" si="6"/>
        <v>252</v>
      </c>
      <c r="R69" s="1">
        <f>J69*Assumptions!$E$19</f>
        <v>0</v>
      </c>
      <c r="S69" s="3">
        <f>G69*Assumptions!$E$10*Assumptions!$E$6+J69*Assumptions!$E$7+M69*Assumptions!$E$13*Assumptions!$E$6+N69*Assumptions!$E$12*Assumptions!$E$6+Q69*Assumptions!$E$15*Assumptions!$E$6</f>
        <v>33025.97957</v>
      </c>
      <c r="T69" s="3">
        <f>R69*Assumptions!$E$20-H69*Assumptions!$E$21</f>
        <v>-25200</v>
      </c>
      <c r="U69" s="3">
        <f t="shared" si="7"/>
        <v>7825.979568</v>
      </c>
      <c r="V69" s="4">
        <f>U69/H69/Assumptions!$E$21</f>
        <v>0.3105547448</v>
      </c>
      <c r="W69" s="3">
        <f t="shared" si="8"/>
        <v>0</v>
      </c>
    </row>
    <row r="70" ht="15.75" customHeight="1">
      <c r="A70" s="1" t="s">
        <v>119</v>
      </c>
      <c r="B70" s="1" t="s">
        <v>82</v>
      </c>
      <c r="D70" s="1">
        <v>84.0</v>
      </c>
      <c r="E70" s="1" t="s">
        <v>125</v>
      </c>
      <c r="F70" s="5" t="s">
        <v>31</v>
      </c>
      <c r="G70" s="1">
        <v>153702.0</v>
      </c>
      <c r="H70" s="1">
        <v>95.0</v>
      </c>
      <c r="I70" s="8">
        <v>1617.9157894736843</v>
      </c>
      <c r="J70" s="1">
        <v>0.0</v>
      </c>
      <c r="K70" s="8">
        <v>0.0</v>
      </c>
      <c r="L70" s="1">
        <v>30.0</v>
      </c>
      <c r="M70" s="8">
        <v>0.018542374204629737</v>
      </c>
      <c r="N70" s="1">
        <v>2816.0</v>
      </c>
      <c r="O70" s="8">
        <v>1.7405108586745779</v>
      </c>
      <c r="P70" s="1">
        <v>10.0</v>
      </c>
      <c r="Q70" s="1">
        <f t="shared" si="6"/>
        <v>190</v>
      </c>
      <c r="R70" s="1">
        <f>J70*Assumptions!$E$19</f>
        <v>0</v>
      </c>
      <c r="S70" s="3">
        <f>G70*Assumptions!$E$10*Assumptions!$E$6+J70*Assumptions!$E$7+M70*Assumptions!$E$13*Assumptions!$E$6+N70*Assumptions!$E$12*Assumptions!$E$6+Q70*Assumptions!$E$15*Assumptions!$E$6</f>
        <v>89507.30212</v>
      </c>
      <c r="T70" s="3">
        <f>R70*Assumptions!$E$20-H70*Assumptions!$E$21</f>
        <v>-19000</v>
      </c>
      <c r="U70" s="3">
        <f t="shared" si="7"/>
        <v>70507.30212</v>
      </c>
      <c r="V70" s="4">
        <f>U70/H70/Assumptions!$E$21</f>
        <v>3.710910638</v>
      </c>
      <c r="W70" s="3">
        <f t="shared" si="8"/>
        <v>0</v>
      </c>
    </row>
    <row r="71" ht="15.75" customHeight="1">
      <c r="A71" s="1" t="s">
        <v>119</v>
      </c>
      <c r="B71" s="1" t="s">
        <v>82</v>
      </c>
      <c r="D71" s="1">
        <v>20.0</v>
      </c>
      <c r="E71" s="1" t="s">
        <v>126</v>
      </c>
      <c r="F71" s="5" t="s">
        <v>31</v>
      </c>
      <c r="G71" s="1">
        <v>37835.0</v>
      </c>
      <c r="H71" s="1">
        <v>94.0</v>
      </c>
      <c r="I71" s="8">
        <v>402.5</v>
      </c>
      <c r="J71" s="1">
        <v>0.0</v>
      </c>
      <c r="K71" s="8">
        <v>0.0</v>
      </c>
      <c r="L71" s="1">
        <v>0.0</v>
      </c>
      <c r="M71" s="8">
        <v>0.0</v>
      </c>
      <c r="N71" s="1">
        <v>187.0</v>
      </c>
      <c r="O71" s="8">
        <v>0.4645962732919255</v>
      </c>
      <c r="P71" s="1">
        <v>5.0</v>
      </c>
      <c r="Q71" s="1">
        <f t="shared" si="6"/>
        <v>188</v>
      </c>
      <c r="R71" s="1">
        <f>J71*Assumptions!$E$19</f>
        <v>0</v>
      </c>
      <c r="S71" s="3">
        <f>G71*Assumptions!$E$10*Assumptions!$E$6+J71*Assumptions!$E$7+M71*Assumptions!$E$13*Assumptions!$E$6+N71*Assumptions!$E$12*Assumptions!$E$6+Q71*Assumptions!$E$15*Assumptions!$E$6</f>
        <v>16439.6875</v>
      </c>
      <c r="T71" s="3">
        <f>R71*Assumptions!$E$20-H71*Assumptions!$E$21</f>
        <v>-18800</v>
      </c>
      <c r="U71" s="3">
        <f t="shared" si="7"/>
        <v>-2360.3125</v>
      </c>
      <c r="V71" s="4">
        <f>U71/H71/Assumptions!$E$21</f>
        <v>-0.1255485372</v>
      </c>
      <c r="W71" s="3">
        <f t="shared" si="8"/>
        <v>0</v>
      </c>
    </row>
    <row r="72" ht="15.75" customHeight="1">
      <c r="A72" s="1" t="s">
        <v>119</v>
      </c>
      <c r="B72" s="1" t="s">
        <v>82</v>
      </c>
      <c r="D72" s="1">
        <v>197.0</v>
      </c>
      <c r="E72" s="1" t="s">
        <v>127</v>
      </c>
      <c r="F72" s="5" t="s">
        <v>31</v>
      </c>
      <c r="G72" s="1">
        <v>109305.0</v>
      </c>
      <c r="H72" s="1">
        <v>93.0</v>
      </c>
      <c r="I72" s="8">
        <v>1175.3225806451612</v>
      </c>
      <c r="J72" s="1">
        <v>277.0</v>
      </c>
      <c r="K72" s="8">
        <v>2.978494623655914</v>
      </c>
      <c r="L72" s="1">
        <v>15.0</v>
      </c>
      <c r="M72" s="8">
        <v>0.012762453684643887</v>
      </c>
      <c r="N72" s="1">
        <v>1261.0</v>
      </c>
      <c r="O72" s="8">
        <v>1.0728969397557295</v>
      </c>
      <c r="P72" s="1">
        <v>4.0</v>
      </c>
      <c r="Q72" s="1">
        <f t="shared" si="6"/>
        <v>186</v>
      </c>
      <c r="R72" s="1">
        <f>J72*Assumptions!$E$19</f>
        <v>72.02</v>
      </c>
      <c r="S72" s="3">
        <f>G72*Assumptions!$E$10*Assumptions!$E$6+J72*Assumptions!$E$7+M72*Assumptions!$E$13*Assumptions!$E$6+N72*Assumptions!$E$12*Assumptions!$E$6+Q72*Assumptions!$E$15*Assumptions!$E$6</f>
        <v>129649.2006</v>
      </c>
      <c r="T72" s="3">
        <f>R72*Assumptions!$E$20-H72*Assumptions!$E$21</f>
        <v>53420</v>
      </c>
      <c r="U72" s="3">
        <f t="shared" si="7"/>
        <v>183069.2006</v>
      </c>
      <c r="V72" s="4">
        <f>U72/H72/Assumptions!$E$21</f>
        <v>9.842430141</v>
      </c>
      <c r="W72" s="3">
        <f t="shared" si="8"/>
        <v>0.7744086022</v>
      </c>
    </row>
    <row r="73" ht="15.75" customHeight="1">
      <c r="A73" s="1" t="s">
        <v>119</v>
      </c>
      <c r="B73" s="1" t="s">
        <v>82</v>
      </c>
      <c r="D73" s="1">
        <v>238.0</v>
      </c>
      <c r="E73" s="1" t="s">
        <v>128</v>
      </c>
      <c r="F73" s="5" t="s">
        <v>31</v>
      </c>
      <c r="G73" s="1">
        <v>14447.0</v>
      </c>
      <c r="H73" s="1">
        <v>67.0</v>
      </c>
      <c r="I73" s="8">
        <v>215.62686567164178</v>
      </c>
      <c r="J73" s="1">
        <v>7.0</v>
      </c>
      <c r="K73" s="8">
        <v>0.1044776119402985</v>
      </c>
      <c r="L73" s="1">
        <v>6.0</v>
      </c>
      <c r="M73" s="8">
        <v>0.02782584619644217</v>
      </c>
      <c r="N73" s="1">
        <v>274.0</v>
      </c>
      <c r="O73" s="8">
        <v>1.270713642970859</v>
      </c>
      <c r="P73" s="1">
        <v>2.0</v>
      </c>
      <c r="Q73" s="1">
        <f t="shared" si="6"/>
        <v>134</v>
      </c>
      <c r="R73" s="1">
        <f>J73*Assumptions!$E$19</f>
        <v>1.82</v>
      </c>
      <c r="S73" s="3">
        <f>G73*Assumptions!$E$10*Assumptions!$E$6+J73*Assumptions!$E$7+M73*Assumptions!$E$13*Assumptions!$E$6+N73*Assumptions!$E$12*Assumptions!$E$6+Q73*Assumptions!$E$15*Assumptions!$E$6</f>
        <v>16526.32879</v>
      </c>
      <c r="T73" s="3">
        <f>R73*Assumptions!$E$20-H73*Assumptions!$E$21</f>
        <v>-11580</v>
      </c>
      <c r="U73" s="3">
        <f t="shared" si="7"/>
        <v>4946.328792</v>
      </c>
      <c r="V73" s="4">
        <f>U73/H73/Assumptions!$E$21</f>
        <v>0.3691290144</v>
      </c>
      <c r="W73" s="3">
        <f t="shared" si="8"/>
        <v>0.0271641791</v>
      </c>
    </row>
    <row r="74" ht="15.75" customHeight="1">
      <c r="A74" s="1" t="s">
        <v>119</v>
      </c>
      <c r="B74" s="1" t="s">
        <v>82</v>
      </c>
      <c r="D74" s="1">
        <v>214.0</v>
      </c>
      <c r="E74" s="1" t="s">
        <v>129</v>
      </c>
      <c r="F74" s="5" t="s">
        <v>31</v>
      </c>
      <c r="G74" s="1">
        <v>54124.0</v>
      </c>
      <c r="H74" s="1">
        <v>59.0</v>
      </c>
      <c r="I74" s="8">
        <v>917.3559322033898</v>
      </c>
      <c r="J74" s="1">
        <v>41.0</v>
      </c>
      <c r="K74" s="8">
        <v>0.6949152542372882</v>
      </c>
      <c r="L74" s="1">
        <v>5.0</v>
      </c>
      <c r="M74" s="8">
        <v>0.005450447121424877</v>
      </c>
      <c r="N74" s="1">
        <v>275.0</v>
      </c>
      <c r="O74" s="8">
        <v>0.29977459167836823</v>
      </c>
      <c r="P74" s="1">
        <v>3.0</v>
      </c>
      <c r="Q74" s="1">
        <f t="shared" si="6"/>
        <v>118</v>
      </c>
      <c r="R74" s="1">
        <f>J74*Assumptions!$E$19</f>
        <v>10.66</v>
      </c>
      <c r="S74" s="3">
        <f>G74*Assumptions!$E$10*Assumptions!$E$6+J74*Assumptions!$E$7+M74*Assumptions!$E$13*Assumptions!$E$6+N74*Assumptions!$E$12*Assumptions!$E$6+Q74*Assumptions!$E$15*Assumptions!$E$6</f>
        <v>28294.02252</v>
      </c>
      <c r="T74" s="3">
        <f>R74*Assumptions!$E$20-H74*Assumptions!$E$21</f>
        <v>-1140</v>
      </c>
      <c r="U74" s="3">
        <f t="shared" si="7"/>
        <v>27154.02252</v>
      </c>
      <c r="V74" s="4">
        <f>U74/H74/Assumptions!$E$21</f>
        <v>2.301188349</v>
      </c>
      <c r="W74" s="3">
        <f t="shared" si="8"/>
        <v>0.1806779661</v>
      </c>
    </row>
    <row r="75" ht="15.75" customHeight="1">
      <c r="A75" s="1" t="s">
        <v>119</v>
      </c>
      <c r="B75" s="1" t="s">
        <v>82</v>
      </c>
      <c r="D75" s="1">
        <v>236.0</v>
      </c>
      <c r="E75" s="1" t="s">
        <v>130</v>
      </c>
      <c r="F75" s="5" t="s">
        <v>31</v>
      </c>
      <c r="G75" s="1">
        <v>32917.0</v>
      </c>
      <c r="H75" s="1">
        <v>39.0</v>
      </c>
      <c r="I75" s="8">
        <v>844.025641025641</v>
      </c>
      <c r="J75" s="1">
        <v>11.0</v>
      </c>
      <c r="K75" s="8">
        <v>0.28205128205128205</v>
      </c>
      <c r="L75" s="1">
        <v>16.0</v>
      </c>
      <c r="M75" s="8">
        <v>0.01895677005802473</v>
      </c>
      <c r="N75" s="1">
        <v>53.0</v>
      </c>
      <c r="O75" s="8">
        <v>0.06279430081720691</v>
      </c>
      <c r="P75" s="1">
        <v>3.0</v>
      </c>
      <c r="Q75" s="1">
        <f t="shared" si="6"/>
        <v>78</v>
      </c>
      <c r="R75" s="1">
        <f>J75*Assumptions!$E$19</f>
        <v>2.86</v>
      </c>
      <c r="S75" s="3">
        <f>G75*Assumptions!$E$10*Assumptions!$E$6+J75*Assumptions!$E$7+M75*Assumptions!$E$13*Assumptions!$E$6+N75*Assumptions!$E$12*Assumptions!$E$6+Q75*Assumptions!$E$15*Assumptions!$E$6</f>
        <v>10539.26034</v>
      </c>
      <c r="T75" s="3">
        <f>R75*Assumptions!$E$20-H75*Assumptions!$E$21</f>
        <v>-4940</v>
      </c>
      <c r="U75" s="3">
        <f t="shared" si="7"/>
        <v>5599.260339</v>
      </c>
      <c r="V75" s="4">
        <f>U75/H75/Assumptions!$E$21</f>
        <v>0.7178538896</v>
      </c>
      <c r="W75" s="3">
        <f t="shared" si="8"/>
        <v>0.07333333333</v>
      </c>
    </row>
    <row r="76" ht="15.75" customHeight="1">
      <c r="A76" s="1" t="s">
        <v>119</v>
      </c>
      <c r="B76" s="1" t="s">
        <v>82</v>
      </c>
      <c r="D76" s="1">
        <v>140.0</v>
      </c>
      <c r="E76" s="1" t="s">
        <v>131</v>
      </c>
      <c r="F76" s="5" t="s">
        <v>31</v>
      </c>
      <c r="G76" s="1">
        <v>131953.0</v>
      </c>
      <c r="H76" s="1">
        <v>37.0</v>
      </c>
      <c r="I76" s="8">
        <v>3566.2972972972975</v>
      </c>
      <c r="J76" s="1">
        <v>71.0</v>
      </c>
      <c r="K76" s="8">
        <v>1.9189189189189189</v>
      </c>
      <c r="L76" s="1">
        <v>11.0</v>
      </c>
      <c r="M76" s="8">
        <v>0.0030844315779103163</v>
      </c>
      <c r="N76" s="1">
        <v>270.0</v>
      </c>
      <c r="O76" s="8">
        <v>0.07570877509416231</v>
      </c>
      <c r="P76" s="1">
        <v>1.0</v>
      </c>
      <c r="Q76" s="1">
        <f t="shared" si="6"/>
        <v>74</v>
      </c>
      <c r="R76" s="1">
        <f>J76*Assumptions!$E$19</f>
        <v>18.46</v>
      </c>
      <c r="S76" s="3">
        <f>G76*Assumptions!$E$10*Assumptions!$E$6+J76*Assumptions!$E$7+M76*Assumptions!$E$13*Assumptions!$E$6+N76*Assumptions!$E$12*Assumptions!$E$6+Q76*Assumptions!$E$15*Assumptions!$E$6</f>
        <v>39713.21672</v>
      </c>
      <c r="T76" s="3">
        <f>R76*Assumptions!$E$20-H76*Assumptions!$E$21</f>
        <v>11060</v>
      </c>
      <c r="U76" s="3">
        <f t="shared" si="7"/>
        <v>50773.21672</v>
      </c>
      <c r="V76" s="4">
        <f>U76/H76/Assumptions!$E$21</f>
        <v>6.861245503</v>
      </c>
      <c r="W76" s="3">
        <f t="shared" si="8"/>
        <v>0.4989189189</v>
      </c>
    </row>
    <row r="77" ht="15.75" customHeight="1">
      <c r="A77" s="1" t="s">
        <v>119</v>
      </c>
      <c r="B77" s="1" t="s">
        <v>82</v>
      </c>
      <c r="D77" s="1">
        <v>149.0</v>
      </c>
      <c r="E77" s="1" t="s">
        <v>132</v>
      </c>
      <c r="F77" s="5" t="s">
        <v>31</v>
      </c>
      <c r="G77" s="1">
        <v>58976.0</v>
      </c>
      <c r="H77" s="1">
        <v>30.0</v>
      </c>
      <c r="I77" s="8">
        <v>1965.8666666666666</v>
      </c>
      <c r="J77" s="1">
        <v>89.0</v>
      </c>
      <c r="K77" s="8">
        <v>2.966666666666667</v>
      </c>
      <c r="L77" s="1">
        <v>7.0</v>
      </c>
      <c r="M77" s="8">
        <v>0.003560770482908302</v>
      </c>
      <c r="N77" s="1">
        <v>270.0</v>
      </c>
      <c r="O77" s="8">
        <v>0.13734400434074878</v>
      </c>
      <c r="P77" s="1">
        <v>1.0</v>
      </c>
      <c r="Q77" s="1">
        <f t="shared" si="6"/>
        <v>60</v>
      </c>
      <c r="R77" s="1">
        <f>J77*Assumptions!$E$19</f>
        <v>23.14</v>
      </c>
      <c r="S77" s="3">
        <f>G77*Assumptions!$E$10*Assumptions!$E$6+J77*Assumptions!$E$7+M77*Assumptions!$E$13*Assumptions!$E$6+N77*Assumptions!$E$12*Assumptions!$E$6+Q77*Assumptions!$E$15*Assumptions!$E$6</f>
        <v>39780.17804</v>
      </c>
      <c r="T77" s="3">
        <f>R77*Assumptions!$E$20-H77*Assumptions!$E$21</f>
        <v>17140</v>
      </c>
      <c r="U77" s="3">
        <f t="shared" si="7"/>
        <v>56920.17804</v>
      </c>
      <c r="V77" s="4">
        <f>U77/H77/Assumptions!$E$21</f>
        <v>9.48669634</v>
      </c>
      <c r="W77" s="3">
        <f t="shared" si="8"/>
        <v>0.7713333333</v>
      </c>
    </row>
    <row r="78" ht="15.75" customHeight="1">
      <c r="A78" s="1" t="s">
        <v>119</v>
      </c>
      <c r="B78" s="1" t="s">
        <v>82</v>
      </c>
      <c r="D78" s="1">
        <v>161.0</v>
      </c>
      <c r="E78" s="1" t="s">
        <v>133</v>
      </c>
      <c r="F78" s="5" t="s">
        <v>31</v>
      </c>
      <c r="G78" s="1">
        <v>30002.0</v>
      </c>
      <c r="H78" s="1">
        <v>28.0</v>
      </c>
      <c r="I78" s="8">
        <v>1071.5</v>
      </c>
      <c r="J78" s="1">
        <v>20.0</v>
      </c>
      <c r="K78" s="8">
        <v>0.7142857142857143</v>
      </c>
      <c r="L78" s="1">
        <v>0.0</v>
      </c>
      <c r="M78" s="8">
        <v>0.0</v>
      </c>
      <c r="N78" s="1">
        <v>44.0</v>
      </c>
      <c r="O78" s="8">
        <v>0.04106392907139524</v>
      </c>
      <c r="P78" s="1">
        <v>1.0</v>
      </c>
      <c r="Q78" s="1">
        <f t="shared" si="6"/>
        <v>56</v>
      </c>
      <c r="R78" s="1">
        <f>J78*Assumptions!$E$19</f>
        <v>5.2</v>
      </c>
      <c r="S78" s="3">
        <f>G78*Assumptions!$E$10*Assumptions!$E$6+J78*Assumptions!$E$7+M78*Assumptions!$E$13*Assumptions!$E$6+N78*Assumptions!$E$12*Assumptions!$E$6+Q78*Assumptions!$E$15*Assumptions!$E$6</f>
        <v>11695.125</v>
      </c>
      <c r="T78" s="3">
        <f>R78*Assumptions!$E$20-H78*Assumptions!$E$21</f>
        <v>-400</v>
      </c>
      <c r="U78" s="3">
        <f t="shared" si="7"/>
        <v>11295.125</v>
      </c>
      <c r="V78" s="4">
        <f>U78/H78/Assumptions!$E$21</f>
        <v>2.016986607</v>
      </c>
      <c r="W78" s="3">
        <f t="shared" si="8"/>
        <v>0.1857142857</v>
      </c>
    </row>
    <row r="79" ht="15.75" customHeight="1">
      <c r="A79" s="1" t="s">
        <v>119</v>
      </c>
      <c r="B79" s="1" t="s">
        <v>82</v>
      </c>
      <c r="D79" s="1">
        <v>204.0</v>
      </c>
      <c r="E79" s="1" t="s">
        <v>134</v>
      </c>
      <c r="F79" s="5" t="s">
        <v>31</v>
      </c>
      <c r="G79" s="1">
        <v>16792.0</v>
      </c>
      <c r="H79" s="1">
        <v>27.0</v>
      </c>
      <c r="I79" s="8">
        <v>621.925925925926</v>
      </c>
      <c r="J79" s="1">
        <v>92.0</v>
      </c>
      <c r="K79" s="8">
        <v>3.4074074074074074</v>
      </c>
      <c r="L79" s="1">
        <v>3.0</v>
      </c>
      <c r="M79" s="8">
        <v>0.004823725583611243</v>
      </c>
      <c r="N79" s="1">
        <v>172.0</v>
      </c>
      <c r="O79" s="8">
        <v>0.27656026679371126</v>
      </c>
      <c r="P79" s="1">
        <v>3.0</v>
      </c>
      <c r="Q79" s="1">
        <f t="shared" si="6"/>
        <v>54</v>
      </c>
      <c r="R79" s="1">
        <f>J79*Assumptions!$E$19</f>
        <v>23.92</v>
      </c>
      <c r="S79" s="3">
        <f>G79*Assumptions!$E$10*Assumptions!$E$6+J79*Assumptions!$E$7+M79*Assumptions!$E$13*Assumptions!$E$6+N79*Assumptions!$E$12*Assumptions!$E$6+Q79*Assumptions!$E$15*Assumptions!$E$6</f>
        <v>35281.74119</v>
      </c>
      <c r="T79" s="3">
        <f>R79*Assumptions!$E$20-H79*Assumptions!$E$21</f>
        <v>18520</v>
      </c>
      <c r="U79" s="3">
        <f t="shared" si="7"/>
        <v>53801.74119</v>
      </c>
      <c r="V79" s="4">
        <f>U79/H79/Assumptions!$E$21</f>
        <v>9.963285405</v>
      </c>
      <c r="W79" s="3">
        <f t="shared" si="8"/>
        <v>0.8859259259</v>
      </c>
    </row>
    <row r="80" ht="15.75" customHeight="1">
      <c r="A80" s="1" t="s">
        <v>119</v>
      </c>
      <c r="B80" s="1" t="s">
        <v>82</v>
      </c>
      <c r="D80" s="1">
        <v>10.0</v>
      </c>
      <c r="E80" s="1" t="s">
        <v>135</v>
      </c>
      <c r="F80" s="5" t="s">
        <v>31</v>
      </c>
      <c r="G80" s="1">
        <v>44434.0</v>
      </c>
      <c r="H80" s="1">
        <v>16.0</v>
      </c>
      <c r="I80" s="8">
        <v>2777.125</v>
      </c>
      <c r="J80" s="1">
        <v>0.0</v>
      </c>
      <c r="K80" s="8">
        <v>0.0</v>
      </c>
      <c r="L80" s="1">
        <v>167.0</v>
      </c>
      <c r="M80" s="8">
        <v>0.060134131520907415</v>
      </c>
      <c r="N80" s="1">
        <v>999.0</v>
      </c>
      <c r="O80" s="8">
        <v>0.35972453526578746</v>
      </c>
      <c r="P80" s="1">
        <v>22.0</v>
      </c>
      <c r="Q80" s="1">
        <f t="shared" si="6"/>
        <v>32</v>
      </c>
      <c r="R80" s="1">
        <f>J80*Assumptions!$E$19</f>
        <v>0</v>
      </c>
      <c r="S80" s="3">
        <f>G80*Assumptions!$E$10*Assumptions!$E$6+J80*Assumptions!$E$7+M80*Assumptions!$E$13*Assumptions!$E$6+N80*Assumptions!$E$12*Assumptions!$E$6+Q80*Assumptions!$E$15*Assumptions!$E$6</f>
        <v>29355.13171</v>
      </c>
      <c r="T80" s="3">
        <f>R80*Assumptions!$E$20-H80*Assumptions!$E$21</f>
        <v>-3200</v>
      </c>
      <c r="U80" s="3">
        <f t="shared" si="7"/>
        <v>26155.13171</v>
      </c>
      <c r="V80" s="4">
        <f>U80/H80/Assumptions!$E$21</f>
        <v>8.173478658</v>
      </c>
      <c r="W80" s="3">
        <f t="shared" si="8"/>
        <v>0</v>
      </c>
    </row>
    <row r="81" ht="15.75" customHeight="1">
      <c r="A81" s="1" t="s">
        <v>119</v>
      </c>
      <c r="B81" s="1" t="s">
        <v>82</v>
      </c>
      <c r="D81" s="1">
        <v>141.0</v>
      </c>
      <c r="E81" s="1" t="s">
        <v>136</v>
      </c>
      <c r="F81" s="5" t="s">
        <v>31</v>
      </c>
      <c r="G81" s="1">
        <v>7239.0</v>
      </c>
      <c r="H81" s="1">
        <v>11.0</v>
      </c>
      <c r="I81" s="8">
        <v>658.0909090909091</v>
      </c>
      <c r="J81" s="1">
        <v>13.0</v>
      </c>
      <c r="K81" s="8">
        <v>1.1818181818181819</v>
      </c>
      <c r="L81" s="1">
        <v>3.0</v>
      </c>
      <c r="M81" s="8">
        <v>0.0045586406962287605</v>
      </c>
      <c r="N81" s="1">
        <v>21.0</v>
      </c>
      <c r="O81" s="8">
        <v>0.031910484873601326</v>
      </c>
      <c r="P81" s="1">
        <v>1.0</v>
      </c>
      <c r="Q81" s="1">
        <f t="shared" si="6"/>
        <v>22</v>
      </c>
      <c r="R81" s="1">
        <f>J81*Assumptions!$E$19</f>
        <v>3.38</v>
      </c>
      <c r="S81" s="3">
        <f>G81*Assumptions!$E$10*Assumptions!$E$6+J81*Assumptions!$E$7+M81*Assumptions!$E$13*Assumptions!$E$6+N81*Assumptions!$E$12*Assumptions!$E$6+Q81*Assumptions!$E$15*Assumptions!$E$6</f>
        <v>5925.665432</v>
      </c>
      <c r="T81" s="3">
        <f>R81*Assumptions!$E$20-H81*Assumptions!$E$21</f>
        <v>1180</v>
      </c>
      <c r="U81" s="3">
        <f t="shared" si="7"/>
        <v>7105.665432</v>
      </c>
      <c r="V81" s="4">
        <f>U81/H81/Assumptions!$E$21</f>
        <v>3.229847924</v>
      </c>
      <c r="W81" s="3">
        <f t="shared" si="8"/>
        <v>0.3072727273</v>
      </c>
    </row>
    <row r="82" ht="15.75" customHeight="1">
      <c r="A82" s="1" t="s">
        <v>119</v>
      </c>
      <c r="B82" s="1" t="s">
        <v>82</v>
      </c>
      <c r="D82" s="1">
        <v>181.0</v>
      </c>
      <c r="E82" s="1" t="s">
        <v>137</v>
      </c>
      <c r="F82" s="5" t="s">
        <v>31</v>
      </c>
      <c r="G82" s="1">
        <v>22223.0</v>
      </c>
      <c r="H82" s="1">
        <v>8.0</v>
      </c>
      <c r="I82" s="8">
        <v>2777.875</v>
      </c>
      <c r="J82" s="1">
        <v>21.0</v>
      </c>
      <c r="K82" s="8">
        <v>2.625</v>
      </c>
      <c r="L82" s="1">
        <v>0.0</v>
      </c>
      <c r="M82" s="8">
        <v>0.0</v>
      </c>
      <c r="N82" s="1">
        <v>47.0</v>
      </c>
      <c r="O82" s="8">
        <v>0.016919407820726276</v>
      </c>
      <c r="P82" s="1">
        <v>1.0</v>
      </c>
      <c r="Q82" s="1">
        <f t="shared" si="6"/>
        <v>16</v>
      </c>
      <c r="R82" s="1">
        <f>J82*Assumptions!$E$19</f>
        <v>5.46</v>
      </c>
      <c r="S82" s="3">
        <f>G82*Assumptions!$E$10*Assumptions!$E$6+J82*Assumptions!$E$7+M82*Assumptions!$E$13*Assumptions!$E$6+N82*Assumptions!$E$12*Assumptions!$E$6+Q82*Assumptions!$E$15*Assumptions!$E$6</f>
        <v>9579.9375</v>
      </c>
      <c r="T82" s="3">
        <f>R82*Assumptions!$E$20-H82*Assumptions!$E$21</f>
        <v>3860</v>
      </c>
      <c r="U82" s="3">
        <f t="shared" si="7"/>
        <v>13439.9375</v>
      </c>
      <c r="V82" s="4">
        <f>U82/H82/Assumptions!$E$21</f>
        <v>8.399960938</v>
      </c>
      <c r="W82" s="3">
        <f t="shared" si="8"/>
        <v>0.6825</v>
      </c>
    </row>
    <row r="83" ht="15.75" customHeight="1">
      <c r="A83" s="1" t="s">
        <v>119</v>
      </c>
      <c r="B83" s="1" t="s">
        <v>82</v>
      </c>
      <c r="D83" s="1">
        <v>213.0</v>
      </c>
      <c r="E83" s="1" t="s">
        <v>129</v>
      </c>
      <c r="F83" s="5" t="s">
        <v>31</v>
      </c>
      <c r="G83" s="1">
        <v>15327.0</v>
      </c>
      <c r="H83" s="1">
        <v>8.0</v>
      </c>
      <c r="I83" s="8">
        <v>1915.875</v>
      </c>
      <c r="J83" s="1">
        <v>11.0</v>
      </c>
      <c r="K83" s="8">
        <v>1.375</v>
      </c>
      <c r="L83" s="1">
        <v>0.0</v>
      </c>
      <c r="M83" s="8">
        <v>0.0</v>
      </c>
      <c r="N83" s="1">
        <v>66.0</v>
      </c>
      <c r="O83" s="8">
        <v>0.03444901154824819</v>
      </c>
      <c r="P83" s="1">
        <v>1.0</v>
      </c>
      <c r="Q83" s="1">
        <f t="shared" si="6"/>
        <v>16</v>
      </c>
      <c r="R83" s="1">
        <f>J83*Assumptions!$E$19</f>
        <v>2.86</v>
      </c>
      <c r="S83" s="3">
        <f>G83*Assumptions!$E$10*Assumptions!$E$6+J83*Assumptions!$E$7+M83*Assumptions!$E$13*Assumptions!$E$6+N83*Assumptions!$E$12*Assumptions!$E$6+Q83*Assumptions!$E$15*Assumptions!$E$6</f>
        <v>6663.9375</v>
      </c>
      <c r="T83" s="3">
        <f>R83*Assumptions!$E$20-H83*Assumptions!$E$21</f>
        <v>1260</v>
      </c>
      <c r="U83" s="3">
        <f t="shared" si="7"/>
        <v>7923.9375</v>
      </c>
      <c r="V83" s="4">
        <f>U83/H83/Assumptions!$E$21</f>
        <v>4.952460938</v>
      </c>
      <c r="W83" s="3">
        <f t="shared" si="8"/>
        <v>0.3575</v>
      </c>
    </row>
    <row r="84" ht="15.75" customHeight="1">
      <c r="A84" s="1" t="s">
        <v>119</v>
      </c>
      <c r="B84" s="1" t="s">
        <v>82</v>
      </c>
      <c r="D84" s="1">
        <v>23.0</v>
      </c>
      <c r="E84" s="1" t="s">
        <v>138</v>
      </c>
      <c r="F84" s="5" t="s">
        <v>31</v>
      </c>
      <c r="G84" s="1">
        <v>9923.0</v>
      </c>
      <c r="H84" s="1">
        <v>5.0</v>
      </c>
      <c r="I84" s="8">
        <v>1984.6</v>
      </c>
      <c r="J84" s="1">
        <v>7.0</v>
      </c>
      <c r="K84" s="8">
        <v>1.4</v>
      </c>
      <c r="L84" s="1">
        <v>0.0</v>
      </c>
      <c r="M84" s="8">
        <v>0.0</v>
      </c>
      <c r="N84" s="1">
        <v>78.0</v>
      </c>
      <c r="O84" s="8">
        <v>0.039302630252947696</v>
      </c>
      <c r="P84" s="1">
        <v>4.0</v>
      </c>
      <c r="Q84" s="1">
        <f t="shared" si="6"/>
        <v>10</v>
      </c>
      <c r="R84" s="1">
        <f>J84*Assumptions!$E$19</f>
        <v>1.82</v>
      </c>
      <c r="S84" s="3">
        <f>G84*Assumptions!$E$10*Assumptions!$E$6+J84*Assumptions!$E$7+M84*Assumptions!$E$13*Assumptions!$E$6+N84*Assumptions!$E$12*Assumptions!$E$6+Q84*Assumptions!$E$15*Assumptions!$E$6</f>
        <v>5142.1875</v>
      </c>
      <c r="T84" s="3">
        <f>R84*Assumptions!$E$20-H84*Assumptions!$E$21</f>
        <v>820</v>
      </c>
      <c r="U84" s="3">
        <f t="shared" si="7"/>
        <v>5962.1875</v>
      </c>
      <c r="V84" s="4">
        <f>U84/H84/Assumptions!$E$21</f>
        <v>5.9621875</v>
      </c>
      <c r="W84" s="3">
        <f t="shared" si="8"/>
        <v>0.364</v>
      </c>
    </row>
    <row r="85" ht="15.75" customHeight="1">
      <c r="A85" s="1" t="s">
        <v>119</v>
      </c>
      <c r="B85" s="1" t="s">
        <v>82</v>
      </c>
      <c r="D85" s="1">
        <v>212.0</v>
      </c>
      <c r="E85" s="1" t="s">
        <v>139</v>
      </c>
      <c r="F85" s="5" t="s">
        <v>31</v>
      </c>
      <c r="G85" s="1">
        <v>4497.0</v>
      </c>
      <c r="H85" s="1">
        <v>4.0</v>
      </c>
      <c r="I85" s="8">
        <v>1124.25</v>
      </c>
      <c r="J85" s="1">
        <v>2.0</v>
      </c>
      <c r="K85" s="8">
        <v>0.5</v>
      </c>
      <c r="L85" s="1">
        <v>0.0</v>
      </c>
      <c r="M85" s="8">
        <v>0.0</v>
      </c>
      <c r="N85" s="1">
        <v>19.0</v>
      </c>
      <c r="O85" s="8">
        <v>0.016900155659328443</v>
      </c>
      <c r="P85" s="1">
        <v>1.0</v>
      </c>
      <c r="Q85" s="1">
        <f t="shared" si="6"/>
        <v>8</v>
      </c>
      <c r="R85" s="1">
        <f>J85*Assumptions!$E$19</f>
        <v>0.52</v>
      </c>
      <c r="S85" s="3">
        <f>G85*Assumptions!$E$10*Assumptions!$E$6+J85*Assumptions!$E$7+M85*Assumptions!$E$13*Assumptions!$E$6+N85*Assumptions!$E$12*Assumptions!$E$6+Q85*Assumptions!$E$15*Assumptions!$E$6</f>
        <v>1748.0625</v>
      </c>
      <c r="T85" s="3">
        <f>R85*Assumptions!$E$20-H85*Assumptions!$E$21</f>
        <v>-280</v>
      </c>
      <c r="U85" s="3">
        <f t="shared" si="7"/>
        <v>1468.0625</v>
      </c>
      <c r="V85" s="4">
        <f>U85/H85/Assumptions!$E$21</f>
        <v>1.835078125</v>
      </c>
      <c r="W85" s="3">
        <f t="shared" si="8"/>
        <v>0.13</v>
      </c>
    </row>
    <row r="86" ht="15.75" customHeight="1">
      <c r="A86" s="1" t="s">
        <v>119</v>
      </c>
      <c r="B86" s="1" t="s">
        <v>82</v>
      </c>
      <c r="D86" s="1">
        <v>372.0</v>
      </c>
      <c r="E86" s="1" t="s">
        <v>140</v>
      </c>
      <c r="F86" s="5" t="s">
        <v>31</v>
      </c>
      <c r="G86" s="1">
        <v>8684.0</v>
      </c>
      <c r="H86" s="1">
        <v>3.0</v>
      </c>
      <c r="I86" s="8">
        <v>2894.6666666666665</v>
      </c>
      <c r="J86" s="1">
        <v>0.0</v>
      </c>
      <c r="K86" s="8">
        <v>0.0</v>
      </c>
      <c r="L86" s="1">
        <v>10.0</v>
      </c>
      <c r="M86" s="8">
        <v>0.003454629203132197</v>
      </c>
      <c r="N86" s="1">
        <v>98.0</v>
      </c>
      <c r="O86" s="8">
        <v>0.033855366190695534</v>
      </c>
      <c r="P86" s="1">
        <v>4.0</v>
      </c>
      <c r="Q86" s="1">
        <f t="shared" si="6"/>
        <v>6</v>
      </c>
      <c r="R86" s="1">
        <f>J86*Assumptions!$E$19</f>
        <v>0</v>
      </c>
      <c r="S86" s="3">
        <f>G86*Assumptions!$E$10*Assumptions!$E$6+J86*Assumptions!$E$7+M86*Assumptions!$E$13*Assumptions!$E$6+N86*Assumptions!$E$12*Assumptions!$E$6+Q86*Assumptions!$E$15*Assumptions!$E$6</f>
        <v>3292.922731</v>
      </c>
      <c r="T86" s="3">
        <f>R86*Assumptions!$E$20-H86*Assumptions!$E$21</f>
        <v>-600</v>
      </c>
      <c r="U86" s="3">
        <f t="shared" si="7"/>
        <v>2692.922731</v>
      </c>
      <c r="V86" s="4">
        <f>U86/H86/Assumptions!$E$21</f>
        <v>4.488204552</v>
      </c>
      <c r="W86" s="3">
        <f t="shared" si="8"/>
        <v>0</v>
      </c>
    </row>
    <row r="87" ht="15.75" customHeight="1">
      <c r="A87" s="1" t="s">
        <v>119</v>
      </c>
      <c r="B87" s="1" t="s">
        <v>82</v>
      </c>
      <c r="D87" s="1">
        <v>81.0</v>
      </c>
      <c r="E87" s="1" t="s">
        <v>141</v>
      </c>
      <c r="F87" s="5" t="s">
        <v>39</v>
      </c>
      <c r="G87" s="1">
        <v>0.0</v>
      </c>
      <c r="H87" s="1">
        <v>2.0</v>
      </c>
      <c r="I87" s="8">
        <v>0.0</v>
      </c>
      <c r="J87" s="1">
        <v>1.0</v>
      </c>
      <c r="K87" s="8">
        <v>0.5</v>
      </c>
      <c r="L87" s="1">
        <v>0.0</v>
      </c>
      <c r="M87" s="8">
        <v>0.0</v>
      </c>
      <c r="N87" s="1">
        <v>24.0</v>
      </c>
      <c r="O87" s="8">
        <v>0.0</v>
      </c>
      <c r="P87" s="1">
        <v>2.0</v>
      </c>
      <c r="Q87" s="1">
        <f t="shared" si="6"/>
        <v>4</v>
      </c>
      <c r="R87" s="1">
        <f>J87*Assumptions!$E$19</f>
        <v>0.26</v>
      </c>
      <c r="S87" s="3">
        <f>G87*Assumptions!$E$10*Assumptions!$E$6+J87*Assumptions!$E$7+M87*Assumptions!$E$13*Assumptions!$E$6+N87*Assumptions!$E$12*Assumptions!$E$6+Q87*Assumptions!$E$15*Assumptions!$E$6</f>
        <v>1096</v>
      </c>
      <c r="T87" s="3">
        <f>R87*Assumptions!$E$20-H87*Assumptions!$E$21</f>
        <v>-140</v>
      </c>
      <c r="U87" s="3">
        <f t="shared" si="7"/>
        <v>956</v>
      </c>
      <c r="V87" s="4">
        <f>U87/H87/Assumptions!$E$21</f>
        <v>2.39</v>
      </c>
      <c r="W87" s="3">
        <f t="shared" si="8"/>
        <v>0.13</v>
      </c>
    </row>
    <row r="88" ht="15.75" customHeight="1">
      <c r="A88" s="1" t="s">
        <v>142</v>
      </c>
      <c r="B88" s="1" t="s">
        <v>74</v>
      </c>
      <c r="D88" s="1">
        <v>299.0</v>
      </c>
      <c r="E88" s="1" t="s">
        <v>143</v>
      </c>
      <c r="F88" s="5" t="s">
        <v>31</v>
      </c>
      <c r="G88" s="1">
        <v>33332.0</v>
      </c>
      <c r="H88" s="1">
        <v>71.0</v>
      </c>
      <c r="I88" s="8">
        <v>469.46478873239437</v>
      </c>
      <c r="J88" s="1">
        <v>0.0</v>
      </c>
      <c r="K88" s="8">
        <v>0.0</v>
      </c>
      <c r="L88" s="1">
        <v>0.0</v>
      </c>
      <c r="M88" s="8">
        <v>0.0</v>
      </c>
      <c r="N88" s="1">
        <v>402.0</v>
      </c>
      <c r="O88" s="8">
        <v>0.8562942517700708</v>
      </c>
      <c r="P88" s="1">
        <v>9.0</v>
      </c>
      <c r="Q88" s="1">
        <f t="shared" si="6"/>
        <v>142</v>
      </c>
      <c r="R88" s="1">
        <f>J88*Assumptions!$E$19</f>
        <v>0</v>
      </c>
      <c r="S88" s="3">
        <f>G88*Assumptions!$E$10*Assumptions!$E$6+J88*Assumptions!$E$7+M88*Assumptions!$E$13*Assumptions!$E$6+N88*Assumptions!$E$12*Assumptions!$E$6+Q88*Assumptions!$E$15*Assumptions!$E$6</f>
        <v>19233.25</v>
      </c>
      <c r="T88" s="3">
        <f>R88*Assumptions!$E$20-H88*Assumptions!$E$21</f>
        <v>-14200</v>
      </c>
      <c r="U88" s="3">
        <f t="shared" si="7"/>
        <v>5033.25</v>
      </c>
      <c r="V88" s="4">
        <f>U88/H88/Assumptions!$E$21</f>
        <v>0.3544542254</v>
      </c>
      <c r="W88" s="3">
        <f t="shared" si="8"/>
        <v>0</v>
      </c>
    </row>
    <row r="89" ht="15.75" customHeight="1">
      <c r="A89" s="1" t="s">
        <v>144</v>
      </c>
      <c r="B89" s="1" t="s">
        <v>102</v>
      </c>
      <c r="D89" s="1">
        <v>316.0</v>
      </c>
      <c r="E89" s="1" t="s">
        <v>145</v>
      </c>
      <c r="F89" s="5" t="s">
        <v>31</v>
      </c>
      <c r="G89" s="1">
        <v>84578.0</v>
      </c>
      <c r="H89" s="1">
        <v>2106.0</v>
      </c>
      <c r="I89" s="8">
        <v>40.160493827160494</v>
      </c>
      <c r="J89" s="1">
        <v>58.0</v>
      </c>
      <c r="K89" s="8">
        <v>0.027540360873694207</v>
      </c>
      <c r="L89" s="1">
        <v>193.0</v>
      </c>
      <c r="M89" s="8">
        <v>4.805717798954811</v>
      </c>
      <c r="N89" s="1">
        <v>4143.0</v>
      </c>
      <c r="O89" s="8">
        <v>103.16108207808178</v>
      </c>
      <c r="P89" s="1">
        <v>40.0</v>
      </c>
      <c r="Q89" s="1">
        <f t="shared" si="6"/>
        <v>4212</v>
      </c>
      <c r="R89" s="1">
        <f>J89*Assumptions!$E$19</f>
        <v>15.08</v>
      </c>
      <c r="S89" s="3">
        <f>G89*Assumptions!$E$10*Assumptions!$E$6+J89*Assumptions!$E$7+M89*Assumptions!$E$13*Assumptions!$E$6+N89*Assumptions!$E$12*Assumptions!$E$6+Q89*Assumptions!$E$15*Assumptions!$E$6</f>
        <v>336869.4109</v>
      </c>
      <c r="T89" s="3">
        <f>R89*Assumptions!$E$20-H89*Assumptions!$E$21</f>
        <v>-406120</v>
      </c>
      <c r="U89" s="3">
        <f t="shared" si="7"/>
        <v>-69250.58911</v>
      </c>
      <c r="V89" s="4">
        <f>U89/H89/Assumptions!$E$21</f>
        <v>-0.1644126047</v>
      </c>
      <c r="W89" s="3">
        <f t="shared" si="8"/>
        <v>0.007160493827</v>
      </c>
    </row>
    <row r="90" ht="15.75" customHeight="1">
      <c r="A90" s="1" t="s">
        <v>146</v>
      </c>
      <c r="B90" s="1" t="s">
        <v>147</v>
      </c>
      <c r="D90" s="1">
        <v>218.0</v>
      </c>
      <c r="E90" s="1" t="s">
        <v>148</v>
      </c>
      <c r="F90" s="5" t="s">
        <v>31</v>
      </c>
      <c r="G90" s="1">
        <v>81445.0</v>
      </c>
      <c r="H90" s="1">
        <v>60.0</v>
      </c>
      <c r="I90" s="8">
        <v>1357.4166666666667</v>
      </c>
      <c r="J90" s="1">
        <v>100.0</v>
      </c>
      <c r="K90" s="8">
        <v>1.6666666666666667</v>
      </c>
      <c r="L90" s="1">
        <v>10.0</v>
      </c>
      <c r="M90" s="8">
        <v>0.007366934741236417</v>
      </c>
      <c r="N90" s="1">
        <v>636.0</v>
      </c>
      <c r="O90" s="8">
        <v>0.4685370495426361</v>
      </c>
      <c r="P90" s="1">
        <v>2.0</v>
      </c>
      <c r="Q90" s="1">
        <f t="shared" si="6"/>
        <v>120</v>
      </c>
      <c r="R90" s="1">
        <f>J90*Assumptions!$E$19</f>
        <v>26</v>
      </c>
      <c r="S90" s="3">
        <f>G90*Assumptions!$E$10*Assumptions!$E$6+J90*Assumptions!$E$7+M90*Assumptions!$E$13*Assumptions!$E$6+N90*Assumptions!$E$12*Assumptions!$E$6+Q90*Assumptions!$E$15*Assumptions!$E$6</f>
        <v>56590.68085</v>
      </c>
      <c r="T90" s="3">
        <f>R90*Assumptions!$E$20-H90*Assumptions!$E$21</f>
        <v>14000</v>
      </c>
      <c r="U90" s="3">
        <f t="shared" si="7"/>
        <v>70590.68085</v>
      </c>
      <c r="V90" s="4">
        <f>U90/H90/Assumptions!$E$21</f>
        <v>5.882556737</v>
      </c>
      <c r="W90" s="3">
        <f t="shared" si="8"/>
        <v>0.4333333333</v>
      </c>
    </row>
    <row r="91" ht="15.75" customHeight="1">
      <c r="A91" s="1" t="s">
        <v>146</v>
      </c>
      <c r="B91" s="1" t="s">
        <v>147</v>
      </c>
      <c r="D91" s="1">
        <v>220.0</v>
      </c>
      <c r="E91" s="1" t="s">
        <v>149</v>
      </c>
      <c r="F91" s="5" t="s">
        <v>31</v>
      </c>
      <c r="G91" s="1">
        <v>44654.0</v>
      </c>
      <c r="H91" s="1">
        <v>28.0</v>
      </c>
      <c r="I91" s="8">
        <v>1594.7857142857142</v>
      </c>
      <c r="J91" s="1">
        <v>41.0</v>
      </c>
      <c r="K91" s="8">
        <v>1.4642857142857142</v>
      </c>
      <c r="L91" s="1">
        <v>5.0</v>
      </c>
      <c r="M91" s="8">
        <v>0.003135217449724549</v>
      </c>
      <c r="N91" s="1">
        <v>259.0</v>
      </c>
      <c r="O91" s="8">
        <v>0.16240426389573162</v>
      </c>
      <c r="P91" s="1">
        <v>1.0</v>
      </c>
      <c r="Q91" s="1">
        <f t="shared" si="6"/>
        <v>56</v>
      </c>
      <c r="R91" s="1">
        <f>J91*Assumptions!$E$19</f>
        <v>10.66</v>
      </c>
      <c r="S91" s="3">
        <f>G91*Assumptions!$E$10*Assumptions!$E$6+J91*Assumptions!$E$7+M91*Assumptions!$E$13*Assumptions!$E$6+N91*Assumptions!$E$12*Assumptions!$E$6+Q91*Assumptions!$E$15*Assumptions!$E$6</f>
        <v>24202.03176</v>
      </c>
      <c r="T91" s="3">
        <f>R91*Assumptions!$E$20-H91*Assumptions!$E$21</f>
        <v>5060</v>
      </c>
      <c r="U91" s="3">
        <f t="shared" si="7"/>
        <v>29262.03176</v>
      </c>
      <c r="V91" s="4">
        <f>U91/H91/Assumptions!$E$21</f>
        <v>5.225362814</v>
      </c>
      <c r="W91" s="3">
        <f t="shared" si="8"/>
        <v>0.3807142857</v>
      </c>
    </row>
    <row r="92" ht="15.75" customHeight="1">
      <c r="A92" s="1" t="s">
        <v>146</v>
      </c>
      <c r="B92" s="1" t="s">
        <v>147</v>
      </c>
      <c r="D92" s="1">
        <v>17.0</v>
      </c>
      <c r="E92" s="1" t="s">
        <v>150</v>
      </c>
      <c r="F92" s="5" t="s">
        <v>31</v>
      </c>
      <c r="G92" s="1">
        <v>56246.0</v>
      </c>
      <c r="H92" s="1">
        <v>26.0</v>
      </c>
      <c r="I92" s="8">
        <v>2163.3076923076924</v>
      </c>
      <c r="J92" s="1">
        <v>0.0</v>
      </c>
      <c r="K92" s="8">
        <v>0.0</v>
      </c>
      <c r="L92" s="1">
        <v>0.0</v>
      </c>
      <c r="M92" s="8">
        <v>0.0</v>
      </c>
      <c r="N92" s="1">
        <v>41.0</v>
      </c>
      <c r="O92" s="8">
        <v>0.018952458841517618</v>
      </c>
      <c r="P92" s="1">
        <v>3.0</v>
      </c>
      <c r="Q92" s="1">
        <f t="shared" si="6"/>
        <v>52</v>
      </c>
      <c r="R92" s="1">
        <f>J92*Assumptions!$E$19</f>
        <v>0</v>
      </c>
      <c r="S92" s="3">
        <f>G92*Assumptions!$E$10*Assumptions!$E$6+J92*Assumptions!$E$7+M92*Assumptions!$E$13*Assumptions!$E$6+N92*Assumptions!$E$12*Assumptions!$E$6+Q92*Assumptions!$E$15*Assumptions!$E$6</f>
        <v>7140.375</v>
      </c>
      <c r="T92" s="3">
        <f>R92*Assumptions!$E$20-H92*Assumptions!$E$21</f>
        <v>-5200</v>
      </c>
      <c r="U92" s="3">
        <f t="shared" si="7"/>
        <v>1940.375</v>
      </c>
      <c r="V92" s="4">
        <f>U92/H92/Assumptions!$E$21</f>
        <v>0.3731490385</v>
      </c>
      <c r="W92" s="3">
        <f t="shared" si="8"/>
        <v>0</v>
      </c>
    </row>
    <row r="93" ht="15.75" customHeight="1">
      <c r="A93" s="1" t="s">
        <v>146</v>
      </c>
      <c r="B93" s="1" t="s">
        <v>147</v>
      </c>
      <c r="D93" s="1">
        <v>24.0</v>
      </c>
      <c r="E93" s="1" t="s">
        <v>151</v>
      </c>
      <c r="F93" s="5" t="s">
        <v>39</v>
      </c>
      <c r="G93" s="1">
        <v>0.0</v>
      </c>
      <c r="H93" s="1">
        <v>23.0</v>
      </c>
      <c r="I93" s="8">
        <v>0.0</v>
      </c>
      <c r="J93" s="1">
        <v>0.0</v>
      </c>
      <c r="K93" s="8">
        <v>0.0</v>
      </c>
      <c r="L93" s="1">
        <v>83.0</v>
      </c>
      <c r="M93" s="8">
        <v>0.0</v>
      </c>
      <c r="N93" s="1">
        <v>173.0</v>
      </c>
      <c r="O93" s="8">
        <v>0.0</v>
      </c>
      <c r="P93" s="1">
        <v>4.0</v>
      </c>
      <c r="Q93" s="1">
        <f t="shared" si="6"/>
        <v>46</v>
      </c>
      <c r="R93" s="1">
        <f>J93*Assumptions!$E$19</f>
        <v>0</v>
      </c>
      <c r="S93" s="3">
        <f>G93*Assumptions!$E$10*Assumptions!$E$6+J93*Assumptions!$E$7+M93*Assumptions!$E$13*Assumptions!$E$6+N93*Assumptions!$E$12*Assumptions!$E$6+Q93*Assumptions!$E$15*Assumptions!$E$6</f>
        <v>6625</v>
      </c>
      <c r="T93" s="3">
        <f>R93*Assumptions!$E$20-H93*Assumptions!$E$21</f>
        <v>-4600</v>
      </c>
      <c r="U93" s="3">
        <f t="shared" si="7"/>
        <v>2025</v>
      </c>
      <c r="V93" s="4">
        <f>U93/H93/Assumptions!$E$21</f>
        <v>0.4402173913</v>
      </c>
      <c r="W93" s="3">
        <f t="shared" si="8"/>
        <v>0</v>
      </c>
    </row>
    <row r="94" ht="15.75" customHeight="1">
      <c r="A94" s="1" t="s">
        <v>146</v>
      </c>
      <c r="B94" s="1" t="s">
        <v>147</v>
      </c>
      <c r="D94" s="1">
        <v>32.0</v>
      </c>
      <c r="E94" s="1" t="s">
        <v>152</v>
      </c>
      <c r="F94" s="5" t="s">
        <v>39</v>
      </c>
      <c r="G94" s="1">
        <v>57328.0</v>
      </c>
      <c r="H94" s="1">
        <v>17.0</v>
      </c>
      <c r="I94" s="8">
        <v>3372.235294117647</v>
      </c>
      <c r="J94" s="1">
        <v>0.0</v>
      </c>
      <c r="K94" s="8">
        <v>0.0</v>
      </c>
      <c r="L94" s="1">
        <v>1.0</v>
      </c>
      <c r="M94" s="8">
        <v>2.965392129500419E-4</v>
      </c>
      <c r="N94" s="1">
        <v>97.0</v>
      </c>
      <c r="O94" s="8">
        <v>0.028764303656154063</v>
      </c>
      <c r="P94" s="1">
        <v>2.0</v>
      </c>
      <c r="Q94" s="1">
        <f t="shared" si="6"/>
        <v>34</v>
      </c>
      <c r="R94" s="1">
        <f>J94*Assumptions!$E$19</f>
        <v>0</v>
      </c>
      <c r="S94" s="3">
        <f>G94*Assumptions!$E$10*Assumptions!$E$6+J94*Assumptions!$E$7+M94*Assumptions!$E$13*Assumptions!$E$6+N94*Assumptions!$E$12*Assumptions!$E$6+Q94*Assumptions!$E$15*Assumptions!$E$6</f>
        <v>7708.014827</v>
      </c>
      <c r="T94" s="3">
        <f>R94*Assumptions!$E$20-H94*Assumptions!$E$21</f>
        <v>-3400</v>
      </c>
      <c r="U94" s="3">
        <f t="shared" si="7"/>
        <v>4308.014827</v>
      </c>
      <c r="V94" s="4">
        <f>U94/H94/Assumptions!$E$21</f>
        <v>1.267063184</v>
      </c>
      <c r="W94" s="3">
        <f t="shared" si="8"/>
        <v>0</v>
      </c>
    </row>
    <row r="95" ht="15.75" customHeight="1">
      <c r="A95" s="1" t="s">
        <v>146</v>
      </c>
      <c r="B95" s="1" t="s">
        <v>147</v>
      </c>
      <c r="D95" s="1">
        <v>61.0</v>
      </c>
      <c r="E95" s="1" t="s">
        <v>153</v>
      </c>
      <c r="F95" s="5" t="s">
        <v>39</v>
      </c>
      <c r="G95" s="1">
        <v>49859.0</v>
      </c>
      <c r="H95" s="1">
        <v>16.0</v>
      </c>
      <c r="I95" s="8">
        <v>3116.1875</v>
      </c>
      <c r="J95" s="1">
        <v>0.0</v>
      </c>
      <c r="K95" s="8">
        <v>0.0</v>
      </c>
      <c r="L95" s="1">
        <v>6.0</v>
      </c>
      <c r="M95" s="8">
        <v>0.00192542971178724</v>
      </c>
      <c r="N95" s="1">
        <v>45.0</v>
      </c>
      <c r="O95" s="8">
        <v>0.0144407228384043</v>
      </c>
      <c r="P95" s="1">
        <v>1.0</v>
      </c>
      <c r="Q95" s="1">
        <f t="shared" si="6"/>
        <v>32</v>
      </c>
      <c r="R95" s="1">
        <f>J95*Assumptions!$E$19</f>
        <v>0</v>
      </c>
      <c r="S95" s="3">
        <f>G95*Assumptions!$E$10*Assumptions!$E$6+J95*Assumptions!$E$7+M95*Assumptions!$E$13*Assumptions!$E$6+N95*Assumptions!$E$12*Assumptions!$E$6+Q95*Assumptions!$E$15*Assumptions!$E$6</f>
        <v>5841.283771</v>
      </c>
      <c r="T95" s="3">
        <f>R95*Assumptions!$E$20-H95*Assumptions!$E$21</f>
        <v>-3200</v>
      </c>
      <c r="U95" s="3">
        <f t="shared" si="7"/>
        <v>2641.283771</v>
      </c>
      <c r="V95" s="4">
        <f>U95/H95/Assumptions!$E$21</f>
        <v>0.8254011786</v>
      </c>
      <c r="W95" s="3">
        <f t="shared" si="8"/>
        <v>0</v>
      </c>
    </row>
    <row r="96" ht="15.75" customHeight="1">
      <c r="A96" s="1" t="s">
        <v>146</v>
      </c>
      <c r="B96" s="1" t="s">
        <v>147</v>
      </c>
      <c r="D96" s="1">
        <v>71.0</v>
      </c>
      <c r="E96" s="1" t="s">
        <v>154</v>
      </c>
      <c r="F96" s="5" t="s">
        <v>39</v>
      </c>
      <c r="G96" s="1">
        <v>24954.0</v>
      </c>
      <c r="H96" s="1">
        <v>16.0</v>
      </c>
      <c r="I96" s="8">
        <v>1559.625</v>
      </c>
      <c r="J96" s="1">
        <v>0.0</v>
      </c>
      <c r="K96" s="8">
        <v>0.0</v>
      </c>
      <c r="L96" s="1">
        <v>8.0</v>
      </c>
      <c r="M96" s="8">
        <v>0.005129438166225855</v>
      </c>
      <c r="N96" s="1">
        <v>251.0</v>
      </c>
      <c r="O96" s="8">
        <v>0.16093612246533623</v>
      </c>
      <c r="P96" s="1">
        <v>4.0</v>
      </c>
      <c r="Q96" s="1">
        <f t="shared" si="6"/>
        <v>32</v>
      </c>
      <c r="R96" s="1">
        <f>J96*Assumptions!$E$19</f>
        <v>0</v>
      </c>
      <c r="S96" s="3">
        <f>G96*Assumptions!$E$10*Assumptions!$E$6+J96*Assumptions!$E$7+M96*Assumptions!$E$13*Assumptions!$E$6+N96*Assumptions!$E$12*Assumptions!$E$6+Q96*Assumptions!$E$15*Assumptions!$E$6</f>
        <v>9434.881472</v>
      </c>
      <c r="T96" s="3">
        <f>R96*Assumptions!$E$20-H96*Assumptions!$E$21</f>
        <v>-3200</v>
      </c>
      <c r="U96" s="3">
        <f t="shared" si="7"/>
        <v>6234.881472</v>
      </c>
      <c r="V96" s="4">
        <f>U96/H96/Assumptions!$E$21</f>
        <v>1.94840046</v>
      </c>
      <c r="W96" s="3">
        <f t="shared" si="8"/>
        <v>0</v>
      </c>
    </row>
    <row r="97" ht="15.75" customHeight="1">
      <c r="A97" s="1" t="s">
        <v>146</v>
      </c>
      <c r="B97" s="1" t="s">
        <v>147</v>
      </c>
      <c r="D97" s="1">
        <v>67.0</v>
      </c>
      <c r="E97" s="1" t="s">
        <v>155</v>
      </c>
      <c r="F97" s="5" t="s">
        <v>39</v>
      </c>
      <c r="G97" s="1">
        <v>12186.0</v>
      </c>
      <c r="H97" s="1">
        <v>14.0</v>
      </c>
      <c r="I97" s="8">
        <v>870.4285714285714</v>
      </c>
      <c r="J97" s="1">
        <v>11.0</v>
      </c>
      <c r="K97" s="8">
        <v>0.7857142857142857</v>
      </c>
      <c r="L97" s="1">
        <v>2.0</v>
      </c>
      <c r="M97" s="8">
        <v>0.0022977186935828</v>
      </c>
      <c r="N97" s="1">
        <v>71.0</v>
      </c>
      <c r="O97" s="8">
        <v>0.08156901362218939</v>
      </c>
      <c r="P97" s="1">
        <v>4.0</v>
      </c>
      <c r="Q97" s="1">
        <f t="shared" si="6"/>
        <v>28</v>
      </c>
      <c r="R97" s="1">
        <f>J97*Assumptions!$E$19</f>
        <v>2.86</v>
      </c>
      <c r="S97" s="3">
        <f>G97*Assumptions!$E$10*Assumptions!$E$6+J97*Assumptions!$E$7+M97*Assumptions!$E$13*Assumptions!$E$6+N97*Assumptions!$E$12*Assumptions!$E$6+Q97*Assumptions!$E$15*Assumptions!$E$6</f>
        <v>7192.739886</v>
      </c>
      <c r="T97" s="3">
        <f>R97*Assumptions!$E$20-H97*Assumptions!$E$21</f>
        <v>60</v>
      </c>
      <c r="U97" s="3">
        <f t="shared" si="7"/>
        <v>7252.739886</v>
      </c>
      <c r="V97" s="4">
        <f>U97/H97/Assumptions!$E$21</f>
        <v>2.590264245</v>
      </c>
      <c r="W97" s="3">
        <f t="shared" si="8"/>
        <v>0.2042857143</v>
      </c>
    </row>
    <row r="98" ht="15.75" customHeight="1">
      <c r="A98" s="1" t="s">
        <v>146</v>
      </c>
      <c r="B98" s="1" t="s">
        <v>147</v>
      </c>
      <c r="D98" s="1">
        <v>31.0</v>
      </c>
      <c r="E98" s="1" t="s">
        <v>156</v>
      </c>
      <c r="F98" s="5" t="s">
        <v>39</v>
      </c>
      <c r="G98" s="1">
        <v>12509.0</v>
      </c>
      <c r="H98" s="1">
        <v>13.0</v>
      </c>
      <c r="I98" s="8">
        <v>962.2307692307693</v>
      </c>
      <c r="J98" s="1">
        <v>0.0</v>
      </c>
      <c r="K98" s="8">
        <v>0.0</v>
      </c>
      <c r="L98" s="1">
        <v>10.0</v>
      </c>
      <c r="M98" s="8">
        <v>0.010392517387481013</v>
      </c>
      <c r="N98" s="1">
        <v>167.0</v>
      </c>
      <c r="O98" s="8">
        <v>0.17355504037093292</v>
      </c>
      <c r="P98" s="1">
        <v>4.0</v>
      </c>
      <c r="Q98" s="1">
        <f t="shared" si="6"/>
        <v>26</v>
      </c>
      <c r="R98" s="1">
        <f>J98*Assumptions!$E$19</f>
        <v>0</v>
      </c>
      <c r="S98" s="3">
        <f>G98*Assumptions!$E$10*Assumptions!$E$6+J98*Assumptions!$E$7+M98*Assumptions!$E$13*Assumptions!$E$6+N98*Assumptions!$E$12*Assumptions!$E$6+Q98*Assumptions!$E$15*Assumptions!$E$6</f>
        <v>6257.332126</v>
      </c>
      <c r="T98" s="3">
        <f>R98*Assumptions!$E$20-H98*Assumptions!$E$21</f>
        <v>-2600</v>
      </c>
      <c r="U98" s="3">
        <f t="shared" si="7"/>
        <v>3657.332126</v>
      </c>
      <c r="V98" s="4">
        <f>U98/H98/Assumptions!$E$21</f>
        <v>1.406666202</v>
      </c>
      <c r="W98" s="3">
        <f t="shared" si="8"/>
        <v>0</v>
      </c>
    </row>
    <row r="99" ht="15.75" customHeight="1">
      <c r="A99" s="1" t="s">
        <v>146</v>
      </c>
      <c r="B99" s="1" t="s">
        <v>147</v>
      </c>
      <c r="D99" s="1">
        <v>18.0</v>
      </c>
      <c r="E99" s="1" t="s">
        <v>157</v>
      </c>
      <c r="F99" s="5" t="s">
        <v>39</v>
      </c>
      <c r="G99" s="1">
        <v>9994.0</v>
      </c>
      <c r="H99" s="1">
        <v>9.0</v>
      </c>
      <c r="I99" s="8">
        <v>1110.4444444444443</v>
      </c>
      <c r="J99" s="1">
        <v>3.0</v>
      </c>
      <c r="K99" s="8">
        <v>0.3333333333333333</v>
      </c>
      <c r="L99" s="1">
        <v>2.0</v>
      </c>
      <c r="M99" s="8">
        <v>0.0018010806483890335</v>
      </c>
      <c r="N99" s="1">
        <v>44.0</v>
      </c>
      <c r="O99" s="8">
        <v>0.039623774264558737</v>
      </c>
      <c r="P99" s="1">
        <v>3.0</v>
      </c>
      <c r="Q99" s="1">
        <f t="shared" si="6"/>
        <v>18</v>
      </c>
      <c r="R99" s="1">
        <f>J99*Assumptions!$E$19</f>
        <v>0.78</v>
      </c>
      <c r="S99" s="3">
        <f>G99*Assumptions!$E$10*Assumptions!$E$6+J99*Assumptions!$E$7+M99*Assumptions!$E$13*Assumptions!$E$6+N99*Assumptions!$E$12*Assumptions!$E$6+Q99*Assumptions!$E$15*Assumptions!$E$6</f>
        <v>3512.715054</v>
      </c>
      <c r="T99" s="3">
        <f>R99*Assumptions!$E$20-H99*Assumptions!$E$21</f>
        <v>-1020</v>
      </c>
      <c r="U99" s="3">
        <f t="shared" si="7"/>
        <v>2492.715054</v>
      </c>
      <c r="V99" s="4">
        <f>U99/H99/Assumptions!$E$21</f>
        <v>1.384841697</v>
      </c>
      <c r="W99" s="3">
        <f t="shared" si="8"/>
        <v>0.08666666667</v>
      </c>
    </row>
    <row r="100" ht="15.75" customHeight="1">
      <c r="A100" s="1" t="s">
        <v>146</v>
      </c>
      <c r="B100" s="1" t="s">
        <v>147</v>
      </c>
      <c r="D100" s="1">
        <v>30.0</v>
      </c>
      <c r="E100" s="1" t="s">
        <v>158</v>
      </c>
      <c r="F100" s="5" t="s">
        <v>39</v>
      </c>
      <c r="G100" s="1">
        <v>61863.0</v>
      </c>
      <c r="H100" s="1">
        <v>7.0</v>
      </c>
      <c r="I100" s="8">
        <v>8837.57142857143</v>
      </c>
      <c r="J100" s="1">
        <v>64.0</v>
      </c>
      <c r="K100" s="8">
        <v>9.142857142857142</v>
      </c>
      <c r="L100" s="1">
        <v>1.0</v>
      </c>
      <c r="M100" s="8">
        <v>1.13153258005593E-4</v>
      </c>
      <c r="N100" s="1">
        <v>28.0</v>
      </c>
      <c r="O100" s="8">
        <v>0.003168291224156604</v>
      </c>
      <c r="P100" s="1">
        <v>2.0</v>
      </c>
      <c r="Q100" s="1">
        <f t="shared" si="6"/>
        <v>14</v>
      </c>
      <c r="R100" s="1">
        <f>J100*Assumptions!$E$19</f>
        <v>16.64</v>
      </c>
      <c r="S100" s="3">
        <f>G100*Assumptions!$E$10*Assumptions!$E$6+J100*Assumptions!$E$7+M100*Assumptions!$E$13*Assumptions!$E$6+N100*Assumptions!$E$12*Assumptions!$E$6+Q100*Assumptions!$E$15*Assumptions!$E$6</f>
        <v>24210.44316</v>
      </c>
      <c r="T100" s="3">
        <f>R100*Assumptions!$E$20-H100*Assumptions!$E$21</f>
        <v>15240</v>
      </c>
      <c r="U100" s="3">
        <f t="shared" si="7"/>
        <v>39450.44316</v>
      </c>
      <c r="V100" s="4">
        <f>U100/H100/Assumptions!$E$21</f>
        <v>28.17888797</v>
      </c>
      <c r="W100" s="3">
        <f t="shared" si="8"/>
        <v>2.377142857</v>
      </c>
    </row>
    <row r="101" ht="15.75" customHeight="1">
      <c r="A101" s="1" t="s">
        <v>146</v>
      </c>
      <c r="B101" s="1" t="s">
        <v>147</v>
      </c>
      <c r="D101" s="1">
        <v>28.0</v>
      </c>
      <c r="E101" s="1" t="s">
        <v>159</v>
      </c>
      <c r="F101" s="5" t="s">
        <v>39</v>
      </c>
      <c r="G101" s="1">
        <v>0.0</v>
      </c>
      <c r="H101" s="1">
        <v>5.0</v>
      </c>
      <c r="I101" s="8">
        <v>0.0</v>
      </c>
      <c r="J101" s="1">
        <v>0.0</v>
      </c>
      <c r="K101" s="8">
        <v>0.0</v>
      </c>
      <c r="L101" s="1">
        <v>9.0</v>
      </c>
      <c r="M101" s="8">
        <v>0.0</v>
      </c>
      <c r="N101" s="1">
        <v>5.0</v>
      </c>
      <c r="O101" s="8">
        <v>0.0</v>
      </c>
      <c r="P101" s="1">
        <v>4.0</v>
      </c>
      <c r="Q101" s="1">
        <f t="shared" si="6"/>
        <v>10</v>
      </c>
      <c r="R101" s="1">
        <f>J101*Assumptions!$E$19</f>
        <v>0</v>
      </c>
      <c r="S101" s="3">
        <f>G101*Assumptions!$E$10*Assumptions!$E$6+J101*Assumptions!$E$7+M101*Assumptions!$E$13*Assumptions!$E$6+N101*Assumptions!$E$12*Assumptions!$E$6+Q101*Assumptions!$E$15*Assumptions!$E$6</f>
        <v>625</v>
      </c>
      <c r="T101" s="3">
        <f>R101*Assumptions!$E$20-H101*Assumptions!$E$21</f>
        <v>-1000</v>
      </c>
      <c r="U101" s="3">
        <f t="shared" si="7"/>
        <v>-375</v>
      </c>
      <c r="V101" s="4">
        <f>U101/H101/Assumptions!$E$21</f>
        <v>-0.375</v>
      </c>
      <c r="W101" s="3">
        <f t="shared" si="8"/>
        <v>0</v>
      </c>
    </row>
    <row r="102" ht="15.75" customHeight="1">
      <c r="A102" s="1" t="s">
        <v>146</v>
      </c>
      <c r="B102" s="1" t="s">
        <v>147</v>
      </c>
      <c r="D102" s="1">
        <v>62.0</v>
      </c>
      <c r="E102" s="1" t="s">
        <v>153</v>
      </c>
      <c r="F102" s="5" t="s">
        <v>39</v>
      </c>
      <c r="G102" s="1">
        <v>14888.0</v>
      </c>
      <c r="H102" s="1">
        <v>4.0</v>
      </c>
      <c r="I102" s="8">
        <v>3722.0</v>
      </c>
      <c r="J102" s="1">
        <v>0.0</v>
      </c>
      <c r="K102" s="8">
        <v>0.0</v>
      </c>
      <c r="L102" s="1">
        <v>0.0</v>
      </c>
      <c r="M102" s="8">
        <v>0.0</v>
      </c>
      <c r="N102" s="1">
        <v>0.0</v>
      </c>
      <c r="O102" s="8">
        <v>0.0</v>
      </c>
      <c r="P102" s="1">
        <v>1.0</v>
      </c>
      <c r="Q102" s="1">
        <f t="shared" si="6"/>
        <v>8</v>
      </c>
      <c r="R102" s="1">
        <f>J102*Assumptions!$E$19</f>
        <v>0</v>
      </c>
      <c r="S102" s="3">
        <f>G102*Assumptions!$E$10*Assumptions!$E$6+J102*Assumptions!$E$7+M102*Assumptions!$E$13*Assumptions!$E$6+N102*Assumptions!$E$12*Assumptions!$E$6+Q102*Assumptions!$E$15*Assumptions!$E$6</f>
        <v>1330.5</v>
      </c>
      <c r="T102" s="3">
        <f>R102*Assumptions!$E$20-H102*Assumptions!$E$21</f>
        <v>-800</v>
      </c>
      <c r="U102" s="3">
        <f t="shared" si="7"/>
        <v>530.5</v>
      </c>
      <c r="V102" s="4">
        <f>U102/H102/Assumptions!$E$21</f>
        <v>0.663125</v>
      </c>
      <c r="W102" s="3">
        <f t="shared" si="8"/>
        <v>0</v>
      </c>
    </row>
    <row r="103" ht="15.75" customHeight="1">
      <c r="A103" s="1" t="s">
        <v>146</v>
      </c>
      <c r="B103" s="1" t="s">
        <v>147</v>
      </c>
      <c r="D103" s="1">
        <v>37.0</v>
      </c>
      <c r="E103" s="1" t="s">
        <v>160</v>
      </c>
      <c r="F103" s="5" t="s">
        <v>39</v>
      </c>
      <c r="G103" s="1">
        <v>5125.0</v>
      </c>
      <c r="H103" s="1">
        <v>3.0</v>
      </c>
      <c r="I103" s="8">
        <v>1708.3333333333333</v>
      </c>
      <c r="J103" s="1">
        <v>8.0</v>
      </c>
      <c r="K103" s="8">
        <v>2.6666666666666665</v>
      </c>
      <c r="L103" s="1">
        <v>8.0</v>
      </c>
      <c r="M103" s="8">
        <v>0.0046829268292682925</v>
      </c>
      <c r="N103" s="1">
        <v>47.0</v>
      </c>
      <c r="O103" s="8">
        <v>0.02751219512195122</v>
      </c>
      <c r="P103" s="1">
        <v>2.0</v>
      </c>
      <c r="Q103" s="1">
        <f t="shared" si="6"/>
        <v>6</v>
      </c>
      <c r="R103" s="1">
        <f>J103*Assumptions!$E$19</f>
        <v>2.08</v>
      </c>
      <c r="S103" s="3">
        <f>G103*Assumptions!$E$10*Assumptions!$E$6+J103*Assumptions!$E$7+M103*Assumptions!$E$13*Assumptions!$E$6+N103*Assumptions!$E$12*Assumptions!$E$6+Q103*Assumptions!$E$15*Assumptions!$E$6</f>
        <v>4163.546646</v>
      </c>
      <c r="T103" s="3">
        <f>R103*Assumptions!$E$20-H103*Assumptions!$E$21</f>
        <v>1480</v>
      </c>
      <c r="U103" s="3">
        <f t="shared" si="7"/>
        <v>5643.546646</v>
      </c>
      <c r="V103" s="4">
        <f>U103/H103/Assumptions!$E$21</f>
        <v>9.405911077</v>
      </c>
      <c r="W103" s="3">
        <f t="shared" si="8"/>
        <v>0.6933333333</v>
      </c>
    </row>
    <row r="104" ht="15.75" customHeight="1">
      <c r="A104" s="1" t="s">
        <v>146</v>
      </c>
      <c r="B104" s="1" t="s">
        <v>147</v>
      </c>
      <c r="D104" s="1">
        <v>33.0</v>
      </c>
      <c r="E104" s="1" t="s">
        <v>161</v>
      </c>
      <c r="F104" s="5" t="s">
        <v>39</v>
      </c>
      <c r="G104" s="1">
        <v>0.0</v>
      </c>
      <c r="H104" s="1">
        <v>2.0</v>
      </c>
      <c r="I104" s="8">
        <v>0.0</v>
      </c>
      <c r="J104" s="1">
        <v>0.0</v>
      </c>
      <c r="K104" s="8">
        <v>0.0</v>
      </c>
      <c r="L104" s="1">
        <v>1.0</v>
      </c>
      <c r="M104" s="8">
        <v>0.0</v>
      </c>
      <c r="N104" s="1">
        <v>36.0</v>
      </c>
      <c r="O104" s="8">
        <v>0.0</v>
      </c>
      <c r="P104" s="1">
        <v>4.0</v>
      </c>
      <c r="Q104" s="1">
        <f t="shared" si="6"/>
        <v>4</v>
      </c>
      <c r="R104" s="1">
        <f>J104*Assumptions!$E$19</f>
        <v>0</v>
      </c>
      <c r="S104" s="3">
        <f>G104*Assumptions!$E$10*Assumptions!$E$6+J104*Assumptions!$E$7+M104*Assumptions!$E$13*Assumptions!$E$6+N104*Assumptions!$E$12*Assumptions!$E$6+Q104*Assumptions!$E$15*Assumptions!$E$6</f>
        <v>1100</v>
      </c>
      <c r="T104" s="3">
        <f>R104*Assumptions!$E$20-H104*Assumptions!$E$21</f>
        <v>-400</v>
      </c>
      <c r="U104" s="3">
        <f t="shared" si="7"/>
        <v>700</v>
      </c>
      <c r="V104" s="4">
        <f>U104/H104/Assumptions!$E$21</f>
        <v>1.75</v>
      </c>
      <c r="W104" s="3">
        <f t="shared" si="8"/>
        <v>0</v>
      </c>
    </row>
    <row r="105" ht="15.75" customHeight="1">
      <c r="A105" s="1" t="s">
        <v>146</v>
      </c>
      <c r="B105" s="1" t="s">
        <v>147</v>
      </c>
      <c r="D105" s="1">
        <v>38.0</v>
      </c>
      <c r="E105" s="1" t="s">
        <v>162</v>
      </c>
      <c r="F105" s="5" t="s">
        <v>39</v>
      </c>
      <c r="G105" s="1">
        <v>1903.0</v>
      </c>
      <c r="H105" s="1">
        <v>2.0</v>
      </c>
      <c r="I105" s="8">
        <v>951.5</v>
      </c>
      <c r="J105" s="1">
        <v>0.0</v>
      </c>
      <c r="K105" s="8">
        <v>0.0</v>
      </c>
      <c r="L105" s="1">
        <v>0.0</v>
      </c>
      <c r="M105" s="8">
        <v>0.0</v>
      </c>
      <c r="N105" s="1">
        <v>0.0</v>
      </c>
      <c r="O105" s="8">
        <v>0.0</v>
      </c>
      <c r="P105" s="1">
        <v>1.0</v>
      </c>
      <c r="Q105" s="1">
        <f t="shared" si="6"/>
        <v>4</v>
      </c>
      <c r="R105" s="1">
        <f>J105*Assumptions!$E$19</f>
        <v>0</v>
      </c>
      <c r="S105" s="3">
        <f>G105*Assumptions!$E$10*Assumptions!$E$6+J105*Assumptions!$E$7+M105*Assumptions!$E$13*Assumptions!$E$6+N105*Assumptions!$E$12*Assumptions!$E$6+Q105*Assumptions!$E$15*Assumptions!$E$6</f>
        <v>318.9375</v>
      </c>
      <c r="T105" s="3">
        <f>R105*Assumptions!$E$20-H105*Assumptions!$E$21</f>
        <v>-400</v>
      </c>
      <c r="U105" s="3">
        <f t="shared" si="7"/>
        <v>-81.0625</v>
      </c>
      <c r="V105" s="4">
        <f>U105/H105/Assumptions!$E$21</f>
        <v>-0.20265625</v>
      </c>
      <c r="W105" s="3">
        <f t="shared" si="8"/>
        <v>0</v>
      </c>
    </row>
    <row r="106" ht="15.75" customHeight="1">
      <c r="A106" s="1" t="s">
        <v>163</v>
      </c>
      <c r="B106" s="1" t="s">
        <v>164</v>
      </c>
      <c r="D106" s="1">
        <v>4.0</v>
      </c>
      <c r="E106" s="1" t="s">
        <v>165</v>
      </c>
      <c r="F106" s="5" t="s">
        <v>31</v>
      </c>
      <c r="G106" s="1">
        <v>491420.0</v>
      </c>
      <c r="H106" s="1">
        <v>484.0</v>
      </c>
      <c r="I106" s="8">
        <v>1015.3305785123966</v>
      </c>
      <c r="J106" s="1">
        <v>0.0</v>
      </c>
      <c r="K106" s="8">
        <v>0.0</v>
      </c>
      <c r="L106" s="1">
        <v>10.0</v>
      </c>
      <c r="M106" s="8">
        <v>0.009849008994342925</v>
      </c>
      <c r="N106" s="1">
        <v>809.0</v>
      </c>
      <c r="O106" s="8">
        <v>0.7967848276423426</v>
      </c>
      <c r="P106" s="1">
        <v>8.0</v>
      </c>
      <c r="Q106" s="1">
        <f t="shared" si="6"/>
        <v>968</v>
      </c>
      <c r="R106" s="1">
        <f>J106*Assumptions!$E$19</f>
        <v>0</v>
      </c>
      <c r="S106" s="3">
        <f>G106*Assumptions!$E$10*Assumptions!$E$6+J106*Assumptions!$E$7+M106*Assumptions!$E$13*Assumptions!$E$6+N106*Assumptions!$E$12*Assumptions!$E$6+Q106*Assumptions!$E$15*Assumptions!$E$6</f>
        <v>99339.24245</v>
      </c>
      <c r="T106" s="3">
        <f>R106*Assumptions!$E$20-H106*Assumptions!$E$21</f>
        <v>-96800</v>
      </c>
      <c r="U106" s="3">
        <f t="shared" si="7"/>
        <v>2539.24245</v>
      </c>
      <c r="V106" s="4">
        <f>U106/H106/Assumptions!$E$21</f>
        <v>0.0262318435</v>
      </c>
      <c r="W106" s="3">
        <f t="shared" si="8"/>
        <v>0</v>
      </c>
    </row>
    <row r="107" ht="15.75" customHeight="1">
      <c r="A107" s="1" t="s">
        <v>163</v>
      </c>
      <c r="B107" s="1" t="s">
        <v>164</v>
      </c>
      <c r="D107" s="1">
        <v>3.0</v>
      </c>
      <c r="E107" s="1" t="s">
        <v>166</v>
      </c>
      <c r="F107" s="5" t="s">
        <v>31</v>
      </c>
      <c r="G107" s="1">
        <v>154044.0</v>
      </c>
      <c r="H107" s="1">
        <v>234.0</v>
      </c>
      <c r="I107" s="8">
        <v>658.3076923076923</v>
      </c>
      <c r="J107" s="1">
        <v>0.0</v>
      </c>
      <c r="K107" s="8">
        <v>0.0</v>
      </c>
      <c r="L107" s="1">
        <v>0.0</v>
      </c>
      <c r="M107" s="8">
        <v>0.0</v>
      </c>
      <c r="N107" s="1">
        <v>230.0</v>
      </c>
      <c r="O107" s="8">
        <v>0.34938069642439823</v>
      </c>
      <c r="P107" s="1">
        <v>7.0</v>
      </c>
      <c r="Q107" s="1">
        <f t="shared" si="6"/>
        <v>468</v>
      </c>
      <c r="R107" s="1">
        <f>J107*Assumptions!$E$19</f>
        <v>0</v>
      </c>
      <c r="S107" s="3">
        <f>G107*Assumptions!$E$10*Assumptions!$E$6+J107*Assumptions!$E$7+M107*Assumptions!$E$13*Assumptions!$E$6+N107*Assumptions!$E$12*Assumptions!$E$6+Q107*Assumptions!$E$15*Assumptions!$E$6</f>
        <v>38777.75</v>
      </c>
      <c r="T107" s="3">
        <f>R107*Assumptions!$E$20-H107*Assumptions!$E$21</f>
        <v>-46800</v>
      </c>
      <c r="U107" s="3">
        <f t="shared" si="7"/>
        <v>-8022.25</v>
      </c>
      <c r="V107" s="4">
        <f>U107/H107/Assumptions!$E$21</f>
        <v>-0.1714155983</v>
      </c>
      <c r="W107" s="3">
        <f t="shared" si="8"/>
        <v>0</v>
      </c>
    </row>
    <row r="108" ht="15.75" customHeight="1">
      <c r="A108" s="1" t="s">
        <v>167</v>
      </c>
      <c r="B108" s="1" t="s">
        <v>168</v>
      </c>
      <c r="D108" s="1">
        <v>101.0</v>
      </c>
      <c r="E108" s="1" t="s">
        <v>169</v>
      </c>
      <c r="F108" s="5" t="s">
        <v>31</v>
      </c>
      <c r="G108" s="1">
        <v>92251.0</v>
      </c>
      <c r="H108" s="1">
        <v>89.0</v>
      </c>
      <c r="I108" s="8">
        <v>1036.5280898876404</v>
      </c>
      <c r="J108" s="1">
        <v>84.0</v>
      </c>
      <c r="K108" s="8">
        <v>0.9438202247191011</v>
      </c>
      <c r="L108" s="1">
        <v>7.0</v>
      </c>
      <c r="M108" s="8">
        <v>0.006753314327215966</v>
      </c>
      <c r="N108" s="1">
        <v>1090.0</v>
      </c>
      <c r="O108" s="8">
        <v>1.051587516666486</v>
      </c>
      <c r="P108" s="1">
        <v>6.0</v>
      </c>
      <c r="Q108" s="1">
        <f t="shared" si="6"/>
        <v>178</v>
      </c>
      <c r="R108" s="1">
        <f>J108*Assumptions!$E$19</f>
        <v>21.84</v>
      </c>
      <c r="S108" s="3">
        <f>G108*Assumptions!$E$10*Assumptions!$E$6+J108*Assumptions!$E$7+M108*Assumptions!$E$13*Assumptions!$E$6+N108*Assumptions!$E$12*Assumptions!$E$6+Q108*Assumptions!$E$15*Assumptions!$E$6</f>
        <v>66780.02517</v>
      </c>
      <c r="T108" s="3">
        <f>R108*Assumptions!$E$20-H108*Assumptions!$E$21</f>
        <v>4040</v>
      </c>
      <c r="U108" s="3">
        <f t="shared" si="7"/>
        <v>70820.02517</v>
      </c>
      <c r="V108" s="4">
        <f>U108/H108/Assumptions!$E$21</f>
        <v>3.978653099</v>
      </c>
      <c r="W108" s="3">
        <f t="shared" si="8"/>
        <v>0.2453932584</v>
      </c>
    </row>
    <row r="109" ht="15.75" customHeight="1">
      <c r="A109" s="1" t="s">
        <v>167</v>
      </c>
      <c r="B109" s="1" t="s">
        <v>168</v>
      </c>
      <c r="D109" s="1">
        <v>145.0</v>
      </c>
      <c r="E109" s="1" t="s">
        <v>170</v>
      </c>
      <c r="F109" s="5" t="s">
        <v>31</v>
      </c>
      <c r="G109" s="1">
        <v>39252.0</v>
      </c>
      <c r="H109" s="1">
        <v>20.0</v>
      </c>
      <c r="I109" s="8">
        <v>1962.6</v>
      </c>
      <c r="J109" s="1">
        <v>15.0</v>
      </c>
      <c r="K109" s="8">
        <v>0.75</v>
      </c>
      <c r="L109" s="1">
        <v>3.0</v>
      </c>
      <c r="M109" s="8">
        <v>0.001528584530724549</v>
      </c>
      <c r="N109" s="1">
        <v>139.0</v>
      </c>
      <c r="O109" s="8">
        <v>0.07082441659023744</v>
      </c>
      <c r="P109" s="1">
        <v>1.0</v>
      </c>
      <c r="Q109" s="1">
        <f t="shared" si="6"/>
        <v>40</v>
      </c>
      <c r="R109" s="1">
        <f>J109*Assumptions!$E$19</f>
        <v>3.9</v>
      </c>
      <c r="S109" s="3">
        <f>G109*Assumptions!$E$10*Assumptions!$E$6+J109*Assumptions!$E$7+M109*Assumptions!$E$13*Assumptions!$E$6+N109*Assumptions!$E$12*Assumptions!$E$6+Q109*Assumptions!$E$15*Assumptions!$E$6</f>
        <v>12368.32643</v>
      </c>
      <c r="T109" s="3">
        <f>R109*Assumptions!$E$20-H109*Assumptions!$E$21</f>
        <v>-100</v>
      </c>
      <c r="U109" s="3">
        <f t="shared" si="7"/>
        <v>12268.32643</v>
      </c>
      <c r="V109" s="4">
        <f>U109/H109/Assumptions!$E$21</f>
        <v>3.067081607</v>
      </c>
      <c r="W109" s="3">
        <f t="shared" si="8"/>
        <v>0.195</v>
      </c>
    </row>
    <row r="110" ht="15.75" customHeight="1">
      <c r="A110" s="1" t="s">
        <v>167</v>
      </c>
      <c r="B110" s="1" t="s">
        <v>168</v>
      </c>
      <c r="D110" s="1">
        <v>123.0</v>
      </c>
      <c r="E110" s="1" t="s">
        <v>171</v>
      </c>
      <c r="F110" s="5" t="s">
        <v>31</v>
      </c>
      <c r="G110" s="1">
        <v>32811.0</v>
      </c>
      <c r="H110" s="1">
        <v>17.0</v>
      </c>
      <c r="I110" s="8">
        <v>1930.0588235294117</v>
      </c>
      <c r="J110" s="1">
        <v>24.0</v>
      </c>
      <c r="K110" s="8">
        <v>1.411764705882353</v>
      </c>
      <c r="L110" s="1">
        <v>1.0</v>
      </c>
      <c r="M110" s="8">
        <v>5.181189235317424E-4</v>
      </c>
      <c r="N110" s="1">
        <v>161.0</v>
      </c>
      <c r="O110" s="8">
        <v>0.08341714668861053</v>
      </c>
      <c r="P110" s="1">
        <v>1.0</v>
      </c>
      <c r="Q110" s="1">
        <f t="shared" si="6"/>
        <v>34</v>
      </c>
      <c r="R110" s="1">
        <f>J110*Assumptions!$E$19</f>
        <v>6.24</v>
      </c>
      <c r="S110" s="3">
        <f>G110*Assumptions!$E$10*Assumptions!$E$6+J110*Assumptions!$E$7+M110*Assumptions!$E$13*Assumptions!$E$6+N110*Assumptions!$E$12*Assumptions!$E$6+Q110*Assumptions!$E$15*Assumptions!$E$6</f>
        <v>14879.71341</v>
      </c>
      <c r="T110" s="3">
        <f>R110*Assumptions!$E$20-H110*Assumptions!$E$21</f>
        <v>2840</v>
      </c>
      <c r="U110" s="3">
        <f t="shared" si="7"/>
        <v>17719.71341</v>
      </c>
      <c r="V110" s="4">
        <f>U110/H110/Assumptions!$E$21</f>
        <v>5.211680414</v>
      </c>
      <c r="W110" s="3">
        <f t="shared" si="8"/>
        <v>0.3670588235</v>
      </c>
    </row>
    <row r="111" ht="15.75" customHeight="1">
      <c r="A111" s="1" t="s">
        <v>167</v>
      </c>
      <c r="B111" s="1" t="s">
        <v>168</v>
      </c>
      <c r="D111" s="1">
        <v>128.0</v>
      </c>
      <c r="E111" s="1" t="s">
        <v>172</v>
      </c>
      <c r="F111" s="5" t="s">
        <v>31</v>
      </c>
      <c r="G111" s="1">
        <v>27391.0</v>
      </c>
      <c r="H111" s="1">
        <v>17.0</v>
      </c>
      <c r="I111" s="8">
        <v>1611.235294117647</v>
      </c>
      <c r="J111" s="1">
        <v>25.0</v>
      </c>
      <c r="K111" s="8">
        <v>1.4705882352941178</v>
      </c>
      <c r="L111" s="1">
        <v>6.0</v>
      </c>
      <c r="M111" s="8">
        <v>0.0037238508999306343</v>
      </c>
      <c r="N111" s="1">
        <v>217.0</v>
      </c>
      <c r="O111" s="8">
        <v>0.13467927421415793</v>
      </c>
      <c r="P111" s="1">
        <v>1.0</v>
      </c>
      <c r="Q111" s="1">
        <f t="shared" si="6"/>
        <v>34</v>
      </c>
      <c r="R111" s="1">
        <f>J111*Assumptions!$E$19</f>
        <v>6.5</v>
      </c>
      <c r="S111" s="3">
        <f>G111*Assumptions!$E$10*Assumptions!$E$6+J111*Assumptions!$E$7+M111*Assumptions!$E$13*Assumptions!$E$6+N111*Assumptions!$E$12*Assumptions!$E$6+Q111*Assumptions!$E$15*Assumptions!$E$6</f>
        <v>16237.12369</v>
      </c>
      <c r="T111" s="3">
        <f>R111*Assumptions!$E$20-H111*Assumptions!$E$21</f>
        <v>3100</v>
      </c>
      <c r="U111" s="3">
        <f t="shared" si="7"/>
        <v>19337.12369</v>
      </c>
      <c r="V111" s="4">
        <f>U111/H111/Assumptions!$E$21</f>
        <v>5.687389321</v>
      </c>
      <c r="W111" s="3">
        <f t="shared" si="8"/>
        <v>0.3823529412</v>
      </c>
    </row>
    <row r="112" ht="15.75" customHeight="1">
      <c r="A112" s="1" t="s">
        <v>167</v>
      </c>
      <c r="B112" s="1" t="s">
        <v>168</v>
      </c>
      <c r="D112" s="1">
        <v>168.0</v>
      </c>
      <c r="E112" s="1" t="s">
        <v>173</v>
      </c>
      <c r="F112" s="5" t="s">
        <v>31</v>
      </c>
      <c r="G112" s="1">
        <v>43971.0</v>
      </c>
      <c r="H112" s="1">
        <v>15.0</v>
      </c>
      <c r="I112" s="8">
        <v>2931.4</v>
      </c>
      <c r="J112" s="1">
        <v>118.0</v>
      </c>
      <c r="K112" s="8">
        <v>7.866666666666666</v>
      </c>
      <c r="L112" s="1">
        <v>8.0</v>
      </c>
      <c r="M112" s="8">
        <v>0.0027290714334447705</v>
      </c>
      <c r="N112" s="1">
        <v>320.0</v>
      </c>
      <c r="O112" s="8">
        <v>0.10916285733779081</v>
      </c>
      <c r="P112" s="1">
        <v>1.0</v>
      </c>
      <c r="Q112" s="1">
        <f t="shared" si="6"/>
        <v>30</v>
      </c>
      <c r="R112" s="1">
        <f>J112*Assumptions!$E$19</f>
        <v>30.68</v>
      </c>
      <c r="S112" s="3">
        <f>G112*Assumptions!$E$10*Assumptions!$E$6+J112*Assumptions!$E$7+M112*Assumptions!$E$13*Assumptions!$E$6+N112*Assumptions!$E$12*Assumptions!$E$6+Q112*Assumptions!$E$15*Assumptions!$E$6</f>
        <v>47176.32395</v>
      </c>
      <c r="T112" s="3">
        <f>R112*Assumptions!$E$20-H112*Assumptions!$E$21</f>
        <v>27680</v>
      </c>
      <c r="U112" s="3">
        <f t="shared" si="7"/>
        <v>74856.32395</v>
      </c>
      <c r="V112" s="4">
        <f>U112/H112/Assumptions!$E$21</f>
        <v>24.95210798</v>
      </c>
      <c r="W112" s="3">
        <f t="shared" si="8"/>
        <v>2.045333333</v>
      </c>
    </row>
    <row r="113" ht="15.75" customHeight="1">
      <c r="A113" s="1" t="s">
        <v>167</v>
      </c>
      <c r="B113" s="1" t="s">
        <v>168</v>
      </c>
      <c r="D113" s="1">
        <v>136.0</v>
      </c>
      <c r="E113" s="1" t="s">
        <v>174</v>
      </c>
      <c r="F113" s="5" t="s">
        <v>31</v>
      </c>
      <c r="G113" s="1">
        <v>39991.0</v>
      </c>
      <c r="H113" s="1">
        <v>11.0</v>
      </c>
      <c r="I113" s="8">
        <v>3635.5454545454545</v>
      </c>
      <c r="J113" s="1">
        <v>7.0</v>
      </c>
      <c r="K113" s="8">
        <v>0.6363636363636364</v>
      </c>
      <c r="L113" s="1">
        <v>1.0</v>
      </c>
      <c r="M113" s="8">
        <v>2.7506188892500815E-4</v>
      </c>
      <c r="N113" s="1">
        <v>65.0</v>
      </c>
      <c r="O113" s="8">
        <v>0.017879022780125528</v>
      </c>
      <c r="P113" s="1">
        <v>1.0</v>
      </c>
      <c r="Q113" s="1">
        <f t="shared" si="6"/>
        <v>22</v>
      </c>
      <c r="R113" s="1">
        <f>J113*Assumptions!$E$19</f>
        <v>1.82</v>
      </c>
      <c r="S113" s="3">
        <f>G113*Assumptions!$E$10*Assumptions!$E$6+J113*Assumptions!$E$7+M113*Assumptions!$E$13*Assumptions!$E$6+N113*Assumptions!$E$12*Assumptions!$E$6+Q113*Assumptions!$E$15*Assumptions!$E$6</f>
        <v>7296.451253</v>
      </c>
      <c r="T113" s="3">
        <f>R113*Assumptions!$E$20-H113*Assumptions!$E$21</f>
        <v>-380</v>
      </c>
      <c r="U113" s="3">
        <f t="shared" si="7"/>
        <v>6916.451253</v>
      </c>
      <c r="V113" s="4">
        <f>U113/H113/Assumptions!$E$21</f>
        <v>3.143841479</v>
      </c>
      <c r="W113" s="3">
        <f t="shared" si="8"/>
        <v>0.1654545455</v>
      </c>
    </row>
    <row r="114" ht="15.75" customHeight="1">
      <c r="A114" s="1" t="s">
        <v>167</v>
      </c>
      <c r="B114" s="1" t="s">
        <v>168</v>
      </c>
      <c r="D114" s="1">
        <v>183.0</v>
      </c>
      <c r="E114" s="1" t="s">
        <v>175</v>
      </c>
      <c r="F114" s="5" t="s">
        <v>31</v>
      </c>
      <c r="G114" s="1">
        <v>15445.0</v>
      </c>
      <c r="H114" s="1">
        <v>10.0</v>
      </c>
      <c r="I114" s="8">
        <v>1544.5</v>
      </c>
      <c r="J114" s="1">
        <v>14.0</v>
      </c>
      <c r="K114" s="8">
        <v>1.4</v>
      </c>
      <c r="L114" s="1">
        <v>2.0</v>
      </c>
      <c r="M114" s="8">
        <v>0.0012949174490126255</v>
      </c>
      <c r="N114" s="1">
        <v>199.0</v>
      </c>
      <c r="O114" s="8">
        <v>0.12884428617675622</v>
      </c>
      <c r="P114" s="1">
        <v>1.0</v>
      </c>
      <c r="Q114" s="1">
        <f t="shared" si="6"/>
        <v>20</v>
      </c>
      <c r="R114" s="1">
        <f>J114*Assumptions!$E$19</f>
        <v>3.64</v>
      </c>
      <c r="S114" s="3">
        <f>G114*Assumptions!$E$10*Assumptions!$E$6+J114*Assumptions!$E$7+M114*Assumptions!$E$13*Assumptions!$E$6+N114*Assumptions!$E$12*Assumptions!$E$6+Q114*Assumptions!$E$15*Assumptions!$E$6</f>
        <v>11084.37725</v>
      </c>
      <c r="T114" s="3">
        <f>R114*Assumptions!$E$20-H114*Assumptions!$E$21</f>
        <v>1640</v>
      </c>
      <c r="U114" s="3">
        <f t="shared" si="7"/>
        <v>12724.37725</v>
      </c>
      <c r="V114" s="4">
        <f>U114/H114/Assumptions!$E$21</f>
        <v>6.362188623</v>
      </c>
      <c r="W114" s="3">
        <f t="shared" si="8"/>
        <v>0.364</v>
      </c>
    </row>
    <row r="115" ht="15.75" customHeight="1">
      <c r="A115" s="1" t="s">
        <v>167</v>
      </c>
      <c r="B115" s="1" t="s">
        <v>168</v>
      </c>
      <c r="D115" s="1">
        <v>156.0</v>
      </c>
      <c r="E115" s="1" t="s">
        <v>176</v>
      </c>
      <c r="F115" s="5" t="s">
        <v>31</v>
      </c>
      <c r="G115" s="1">
        <v>38436.0</v>
      </c>
      <c r="H115" s="1">
        <v>8.0</v>
      </c>
      <c r="I115" s="8">
        <v>4804.5</v>
      </c>
      <c r="J115" s="1">
        <v>8.0</v>
      </c>
      <c r="K115" s="8">
        <v>1.0</v>
      </c>
      <c r="L115" s="1">
        <v>0.0</v>
      </c>
      <c r="M115" s="8">
        <v>0.0</v>
      </c>
      <c r="N115" s="1">
        <v>80.0</v>
      </c>
      <c r="O115" s="8">
        <v>0.01665105630138412</v>
      </c>
      <c r="P115" s="1">
        <v>1.0</v>
      </c>
      <c r="Q115" s="1">
        <f t="shared" si="6"/>
        <v>16</v>
      </c>
      <c r="R115" s="1">
        <f>J115*Assumptions!$E$19</f>
        <v>2.08</v>
      </c>
      <c r="S115" s="3">
        <f>G115*Assumptions!$E$10*Assumptions!$E$6+J115*Assumptions!$E$7+M115*Assumptions!$E$13*Assumptions!$E$6+N115*Assumptions!$E$12*Assumptions!$E$6+Q115*Assumptions!$E$15*Assumptions!$E$6</f>
        <v>7570.25</v>
      </c>
      <c r="T115" s="3">
        <f>R115*Assumptions!$E$20-H115*Assumptions!$E$21</f>
        <v>480</v>
      </c>
      <c r="U115" s="3">
        <f t="shared" si="7"/>
        <v>8050.25</v>
      </c>
      <c r="V115" s="4">
        <f>U115/H115/Assumptions!$E$21</f>
        <v>5.03140625</v>
      </c>
      <c r="W115" s="3">
        <f t="shared" si="8"/>
        <v>0.26</v>
      </c>
    </row>
    <row r="116" ht="15.75" customHeight="1">
      <c r="A116" s="1" t="s">
        <v>167</v>
      </c>
      <c r="B116" s="1" t="s">
        <v>168</v>
      </c>
      <c r="D116" s="1">
        <v>169.0</v>
      </c>
      <c r="E116" s="1" t="s">
        <v>177</v>
      </c>
      <c r="F116" s="5" t="s">
        <v>31</v>
      </c>
      <c r="G116" s="1">
        <v>35179.0</v>
      </c>
      <c r="H116" s="1">
        <v>8.0</v>
      </c>
      <c r="I116" s="8">
        <v>4397.375</v>
      </c>
      <c r="J116" s="1">
        <v>2.0</v>
      </c>
      <c r="K116" s="8">
        <v>0.25</v>
      </c>
      <c r="L116" s="1">
        <v>1.0</v>
      </c>
      <c r="M116" s="8">
        <v>2.2740839705506126E-4</v>
      </c>
      <c r="N116" s="1">
        <v>81.0</v>
      </c>
      <c r="O116" s="8">
        <v>0.018420080161459962</v>
      </c>
      <c r="P116" s="1">
        <v>1.0</v>
      </c>
      <c r="Q116" s="1">
        <f t="shared" si="6"/>
        <v>16</v>
      </c>
      <c r="R116" s="1">
        <f>J116*Assumptions!$E$19</f>
        <v>0.52</v>
      </c>
      <c r="S116" s="3">
        <f>G116*Assumptions!$E$10*Assumptions!$E$6+J116*Assumptions!$E$7+M116*Assumptions!$E$13*Assumptions!$E$6+N116*Assumptions!$E$12*Assumptions!$E$6+Q116*Assumptions!$E$15*Assumptions!$E$6</f>
        <v>5615.69887</v>
      </c>
      <c r="T116" s="3">
        <f>R116*Assumptions!$E$20-H116*Assumptions!$E$21</f>
        <v>-1080</v>
      </c>
      <c r="U116" s="3">
        <f t="shared" si="7"/>
        <v>4535.69887</v>
      </c>
      <c r="V116" s="4">
        <f>U116/H116/Assumptions!$E$21</f>
        <v>2.834811794</v>
      </c>
      <c r="W116" s="3">
        <f t="shared" si="8"/>
        <v>0.065</v>
      </c>
    </row>
    <row r="117" ht="15.75" customHeight="1">
      <c r="A117" s="1" t="s">
        <v>167</v>
      </c>
      <c r="B117" s="1" t="s">
        <v>168</v>
      </c>
      <c r="D117" s="1">
        <v>170.0</v>
      </c>
      <c r="E117" s="1" t="s">
        <v>178</v>
      </c>
      <c r="F117" s="5" t="s">
        <v>31</v>
      </c>
      <c r="G117" s="1">
        <v>7732.0</v>
      </c>
      <c r="H117" s="1">
        <v>6.0</v>
      </c>
      <c r="I117" s="8">
        <v>1288.6666666666667</v>
      </c>
      <c r="J117" s="1">
        <v>11.0</v>
      </c>
      <c r="K117" s="8">
        <v>1.8333333333333333</v>
      </c>
      <c r="L117" s="1">
        <v>0.0</v>
      </c>
      <c r="M117" s="8">
        <v>0.0</v>
      </c>
      <c r="N117" s="1">
        <v>57.0</v>
      </c>
      <c r="O117" s="8">
        <v>0.044231764097258146</v>
      </c>
      <c r="P117" s="1">
        <v>1.0</v>
      </c>
      <c r="Q117" s="1">
        <f t="shared" si="6"/>
        <v>12</v>
      </c>
      <c r="R117" s="1">
        <f>J117*Assumptions!$E$19</f>
        <v>2.86</v>
      </c>
      <c r="S117" s="3">
        <f>G117*Assumptions!$E$10*Assumptions!$E$6+J117*Assumptions!$E$7+M117*Assumptions!$E$13*Assumptions!$E$6+N117*Assumptions!$E$12*Assumptions!$E$6+Q117*Assumptions!$E$15*Assumptions!$E$6</f>
        <v>5764.25</v>
      </c>
      <c r="T117" s="3">
        <f>R117*Assumptions!$E$20-H117*Assumptions!$E$21</f>
        <v>1660</v>
      </c>
      <c r="U117" s="3">
        <f t="shared" si="7"/>
        <v>7424.25</v>
      </c>
      <c r="V117" s="4">
        <f>U117/H117/Assumptions!$E$21</f>
        <v>6.186875</v>
      </c>
      <c r="W117" s="3">
        <f t="shared" si="8"/>
        <v>0.4766666667</v>
      </c>
    </row>
    <row r="118" ht="15.75" customHeight="1">
      <c r="A118" s="1" t="s">
        <v>167</v>
      </c>
      <c r="B118" s="1" t="s">
        <v>168</v>
      </c>
      <c r="D118" s="1">
        <v>311.0</v>
      </c>
      <c r="E118" s="1" t="s">
        <v>179</v>
      </c>
      <c r="F118" s="5" t="s">
        <v>31</v>
      </c>
      <c r="G118" s="1">
        <v>37524.0</v>
      </c>
      <c r="H118" s="1">
        <v>6.0</v>
      </c>
      <c r="I118" s="8">
        <v>6254.0</v>
      </c>
      <c r="J118" s="1">
        <v>0.0</v>
      </c>
      <c r="K118" s="8">
        <v>0.0</v>
      </c>
      <c r="L118" s="1">
        <v>3.0</v>
      </c>
      <c r="M118" s="8">
        <v>4.7969299648225136E-4</v>
      </c>
      <c r="N118" s="1">
        <v>137.0</v>
      </c>
      <c r="O118" s="8">
        <v>0.02190598017268948</v>
      </c>
      <c r="P118" s="1">
        <v>1.0</v>
      </c>
      <c r="Q118" s="1">
        <f t="shared" si="6"/>
        <v>12</v>
      </c>
      <c r="R118" s="1">
        <f>J118*Assumptions!$E$19</f>
        <v>0</v>
      </c>
      <c r="S118" s="3">
        <f>G118*Assumptions!$E$10*Assumptions!$E$6+J118*Assumptions!$E$7+M118*Assumptions!$E$13*Assumptions!$E$6+N118*Assumptions!$E$12*Assumptions!$E$6+Q118*Assumptions!$E$15*Assumptions!$E$6</f>
        <v>6370.273985</v>
      </c>
      <c r="T118" s="3">
        <f>R118*Assumptions!$E$20-H118*Assumptions!$E$21</f>
        <v>-1200</v>
      </c>
      <c r="U118" s="3">
        <f t="shared" si="7"/>
        <v>5170.273985</v>
      </c>
      <c r="V118" s="4">
        <f>U118/H118/Assumptions!$E$21</f>
        <v>4.308561654</v>
      </c>
      <c r="W118" s="3">
        <f t="shared" si="8"/>
        <v>0</v>
      </c>
    </row>
    <row r="119" ht="15.75" customHeight="1">
      <c r="A119" s="1" t="s">
        <v>167</v>
      </c>
      <c r="B119" s="1" t="s">
        <v>168</v>
      </c>
      <c r="D119" s="1">
        <v>118.0</v>
      </c>
      <c r="E119" s="1" t="s">
        <v>172</v>
      </c>
      <c r="F119" s="5" t="s">
        <v>31</v>
      </c>
      <c r="G119" s="1">
        <v>6968.0</v>
      </c>
      <c r="H119" s="1">
        <v>5.0</v>
      </c>
      <c r="I119" s="8">
        <v>1393.6</v>
      </c>
      <c r="J119" s="1">
        <v>7.0</v>
      </c>
      <c r="K119" s="8">
        <v>1.4</v>
      </c>
      <c r="L119" s="1">
        <v>0.0</v>
      </c>
      <c r="M119" s="8">
        <v>0.0</v>
      </c>
      <c r="N119" s="1">
        <v>4.0</v>
      </c>
      <c r="O119" s="8">
        <v>0.0028702640642939152</v>
      </c>
      <c r="P119" s="1">
        <v>1.0</v>
      </c>
      <c r="Q119" s="1">
        <f t="shared" si="6"/>
        <v>10</v>
      </c>
      <c r="R119" s="1">
        <f>J119*Assumptions!$E$19</f>
        <v>1.82</v>
      </c>
      <c r="S119" s="3">
        <f>G119*Assumptions!$E$10*Assumptions!$E$6+J119*Assumptions!$E$7+M119*Assumptions!$E$13*Assumptions!$E$6+N119*Assumptions!$E$12*Assumptions!$E$6+Q119*Assumptions!$E$15*Assumptions!$E$6</f>
        <v>3107.5</v>
      </c>
      <c r="T119" s="3">
        <f>R119*Assumptions!$E$20-H119*Assumptions!$E$21</f>
        <v>820</v>
      </c>
      <c r="U119" s="3">
        <f t="shared" si="7"/>
        <v>3927.5</v>
      </c>
      <c r="V119" s="4">
        <f>U119/H119/Assumptions!$E$21</f>
        <v>3.9275</v>
      </c>
      <c r="W119" s="3">
        <f t="shared" si="8"/>
        <v>0.364</v>
      </c>
    </row>
    <row r="120" ht="15.75" customHeight="1">
      <c r="A120" s="1" t="s">
        <v>167</v>
      </c>
      <c r="B120" s="1" t="s">
        <v>168</v>
      </c>
      <c r="D120" s="1">
        <v>157.0</v>
      </c>
      <c r="E120" s="1" t="s">
        <v>180</v>
      </c>
      <c r="F120" s="5" t="s">
        <v>31</v>
      </c>
      <c r="G120" s="1">
        <v>10275.0</v>
      </c>
      <c r="H120" s="1">
        <v>5.0</v>
      </c>
      <c r="I120" s="8">
        <v>2055.0</v>
      </c>
      <c r="J120" s="1">
        <v>27.0</v>
      </c>
      <c r="K120" s="8">
        <v>5.4</v>
      </c>
      <c r="L120" s="1">
        <v>0.0</v>
      </c>
      <c r="M120" s="8">
        <v>0.0</v>
      </c>
      <c r="N120" s="1">
        <v>89.0</v>
      </c>
      <c r="O120" s="8">
        <v>0.04330900243309002</v>
      </c>
      <c r="P120" s="1">
        <v>1.0</v>
      </c>
      <c r="Q120" s="1">
        <f t="shared" si="6"/>
        <v>10</v>
      </c>
      <c r="R120" s="1">
        <f>J120*Assumptions!$E$19</f>
        <v>7.02</v>
      </c>
      <c r="S120" s="3">
        <f>G120*Assumptions!$E$10*Assumptions!$E$6+J120*Assumptions!$E$7+M120*Assumptions!$E$13*Assumptions!$E$6+N120*Assumptions!$E$12*Assumptions!$E$6+Q120*Assumptions!$E$15*Assumptions!$E$6</f>
        <v>11359.1875</v>
      </c>
      <c r="T120" s="3">
        <f>R120*Assumptions!$E$20-H120*Assumptions!$E$21</f>
        <v>6020</v>
      </c>
      <c r="U120" s="3">
        <f t="shared" si="7"/>
        <v>17379.1875</v>
      </c>
      <c r="V120" s="4">
        <f>U120/H120/Assumptions!$E$21</f>
        <v>17.3791875</v>
      </c>
      <c r="W120" s="3">
        <f t="shared" si="8"/>
        <v>1.404</v>
      </c>
    </row>
    <row r="121" ht="15.75" customHeight="1">
      <c r="A121" s="1" t="s">
        <v>167</v>
      </c>
      <c r="B121" s="1" t="s">
        <v>168</v>
      </c>
      <c r="D121" s="1">
        <v>248.0</v>
      </c>
      <c r="E121" s="1" t="s">
        <v>181</v>
      </c>
      <c r="F121" s="5" t="s">
        <v>31</v>
      </c>
      <c r="G121" s="1">
        <v>10849.0</v>
      </c>
      <c r="H121" s="1">
        <v>5.0</v>
      </c>
      <c r="I121" s="8">
        <v>2169.8</v>
      </c>
      <c r="J121" s="1">
        <v>7.0</v>
      </c>
      <c r="K121" s="8">
        <v>1.4</v>
      </c>
      <c r="L121" s="1">
        <v>2.0</v>
      </c>
      <c r="M121" s="8">
        <v>9.217439395335974E-4</v>
      </c>
      <c r="N121" s="1">
        <v>145.0</v>
      </c>
      <c r="O121" s="8">
        <v>0.06682643561618581</v>
      </c>
      <c r="P121" s="1">
        <v>1.0</v>
      </c>
      <c r="Q121" s="1">
        <f t="shared" si="6"/>
        <v>10</v>
      </c>
      <c r="R121" s="1">
        <f>J121*Assumptions!$E$19</f>
        <v>1.82</v>
      </c>
      <c r="S121" s="3">
        <f>G121*Assumptions!$E$10*Assumptions!$E$6+J121*Assumptions!$E$7+M121*Assumptions!$E$13*Assumptions!$E$6+N121*Assumptions!$E$12*Assumptions!$E$6+Q121*Assumptions!$E$15*Assumptions!$E$6</f>
        <v>6875.108587</v>
      </c>
      <c r="T121" s="3">
        <f>R121*Assumptions!$E$20-H121*Assumptions!$E$21</f>
        <v>820</v>
      </c>
      <c r="U121" s="3">
        <f t="shared" si="7"/>
        <v>7695.108587</v>
      </c>
      <c r="V121" s="4">
        <f>U121/H121/Assumptions!$E$21</f>
        <v>7.695108587</v>
      </c>
      <c r="W121" s="3">
        <f t="shared" si="8"/>
        <v>0.364</v>
      </c>
    </row>
    <row r="122" ht="15.75" customHeight="1">
      <c r="A122" s="1" t="s">
        <v>167</v>
      </c>
      <c r="B122" s="1" t="s">
        <v>168</v>
      </c>
      <c r="D122" s="1">
        <v>133.0</v>
      </c>
      <c r="E122" s="1" t="s">
        <v>182</v>
      </c>
      <c r="F122" s="5" t="s">
        <v>31</v>
      </c>
      <c r="G122" s="1">
        <v>3714.0</v>
      </c>
      <c r="H122" s="1">
        <v>4.0</v>
      </c>
      <c r="I122" s="8">
        <v>928.5</v>
      </c>
      <c r="J122" s="1">
        <v>11.0</v>
      </c>
      <c r="K122" s="8">
        <v>2.75</v>
      </c>
      <c r="L122" s="1">
        <v>0.0</v>
      </c>
      <c r="M122" s="8">
        <v>0.0</v>
      </c>
      <c r="N122" s="1">
        <v>42.0</v>
      </c>
      <c r="O122" s="8">
        <v>0.045234248788368334</v>
      </c>
      <c r="P122" s="1">
        <v>1.0</v>
      </c>
      <c r="Q122" s="1">
        <f t="shared" si="6"/>
        <v>8</v>
      </c>
      <c r="R122" s="1">
        <f>J122*Assumptions!$E$19</f>
        <v>2.86</v>
      </c>
      <c r="S122" s="3">
        <f>G122*Assumptions!$E$10*Assumptions!$E$6+J122*Assumptions!$E$7+M122*Assumptions!$E$13*Assumptions!$E$6+N122*Assumptions!$E$12*Assumptions!$E$6+Q122*Assumptions!$E$15*Assumptions!$E$6</f>
        <v>4938.125</v>
      </c>
      <c r="T122" s="3">
        <f>R122*Assumptions!$E$20-H122*Assumptions!$E$21</f>
        <v>2060</v>
      </c>
      <c r="U122" s="3">
        <f t="shared" si="7"/>
        <v>6998.125</v>
      </c>
      <c r="V122" s="4">
        <f>U122/H122/Assumptions!$E$21</f>
        <v>8.74765625</v>
      </c>
      <c r="W122" s="3">
        <f t="shared" si="8"/>
        <v>0.715</v>
      </c>
    </row>
    <row r="123" ht="15.75" customHeight="1">
      <c r="A123" s="1" t="s">
        <v>167</v>
      </c>
      <c r="B123" s="1" t="s">
        <v>168</v>
      </c>
      <c r="D123" s="1">
        <v>186.0</v>
      </c>
      <c r="E123" s="1" t="s">
        <v>183</v>
      </c>
      <c r="F123" s="5" t="s">
        <v>31</v>
      </c>
      <c r="G123" s="1">
        <v>12820.0</v>
      </c>
      <c r="H123" s="1">
        <v>4.0</v>
      </c>
      <c r="I123" s="8">
        <v>3205.0</v>
      </c>
      <c r="J123" s="1">
        <v>13.0</v>
      </c>
      <c r="K123" s="8">
        <v>3.25</v>
      </c>
      <c r="L123" s="1">
        <v>2.0</v>
      </c>
      <c r="M123" s="8">
        <v>6.240249609984399E-4</v>
      </c>
      <c r="N123" s="1">
        <v>88.0</v>
      </c>
      <c r="O123" s="8">
        <v>0.027457098283931357</v>
      </c>
      <c r="P123" s="1">
        <v>1.0</v>
      </c>
      <c r="Q123" s="1">
        <f t="shared" si="6"/>
        <v>8</v>
      </c>
      <c r="R123" s="1">
        <f>J123*Assumptions!$E$19</f>
        <v>3.38</v>
      </c>
      <c r="S123" s="3">
        <f>G123*Assumptions!$E$10*Assumptions!$E$6+J123*Assumptions!$E$7+M123*Assumptions!$E$13*Assumptions!$E$6+N123*Assumptions!$E$12*Assumptions!$E$6+Q123*Assumptions!$E$15*Assumptions!$E$6</f>
        <v>7249.281201</v>
      </c>
      <c r="T123" s="3">
        <f>R123*Assumptions!$E$20-H123*Assumptions!$E$21</f>
        <v>2580</v>
      </c>
      <c r="U123" s="3">
        <f t="shared" si="7"/>
        <v>9829.281201</v>
      </c>
      <c r="V123" s="4">
        <f>U123/H123/Assumptions!$E$21</f>
        <v>12.2866015</v>
      </c>
      <c r="W123" s="3">
        <f t="shared" si="8"/>
        <v>0.845</v>
      </c>
    </row>
    <row r="124" ht="15.75" customHeight="1">
      <c r="A124" s="1" t="s">
        <v>167</v>
      </c>
      <c r="B124" s="1" t="s">
        <v>168</v>
      </c>
      <c r="D124" s="1">
        <v>224.0</v>
      </c>
      <c r="E124" s="1" t="s">
        <v>184</v>
      </c>
      <c r="F124" s="5" t="s">
        <v>31</v>
      </c>
      <c r="G124" s="1">
        <v>9838.0</v>
      </c>
      <c r="H124" s="1">
        <v>4.0</v>
      </c>
      <c r="I124" s="8">
        <v>2459.5</v>
      </c>
      <c r="J124" s="1">
        <v>0.0</v>
      </c>
      <c r="K124" s="8">
        <v>0.0</v>
      </c>
      <c r="L124" s="1">
        <v>2.0</v>
      </c>
      <c r="M124" s="8">
        <v>8.131734092295182E-4</v>
      </c>
      <c r="N124" s="1">
        <v>225.0</v>
      </c>
      <c r="O124" s="8">
        <v>0.0914820085383208</v>
      </c>
      <c r="P124" s="1">
        <v>1.0</v>
      </c>
      <c r="Q124" s="1">
        <f t="shared" si="6"/>
        <v>8</v>
      </c>
      <c r="R124" s="1">
        <f>J124*Assumptions!$E$19</f>
        <v>0</v>
      </c>
      <c r="S124" s="3">
        <f>G124*Assumptions!$E$10*Assumptions!$E$6+J124*Assumptions!$E$7+M124*Assumptions!$E$13*Assumptions!$E$6+N124*Assumptions!$E$12*Assumptions!$E$6+Q124*Assumptions!$E$15*Assumptions!$E$6</f>
        <v>6639.915659</v>
      </c>
      <c r="T124" s="3">
        <f>R124*Assumptions!$E$20-H124*Assumptions!$E$21</f>
        <v>-800</v>
      </c>
      <c r="U124" s="3">
        <f t="shared" si="7"/>
        <v>5839.915659</v>
      </c>
      <c r="V124" s="4">
        <f>U124/H124/Assumptions!$E$21</f>
        <v>7.299894573</v>
      </c>
      <c r="W124" s="3">
        <f t="shared" si="8"/>
        <v>0</v>
      </c>
    </row>
    <row r="125" ht="15.75" customHeight="1">
      <c r="A125" s="1" t="s">
        <v>167</v>
      </c>
      <c r="B125" s="1" t="s">
        <v>168</v>
      </c>
      <c r="D125" s="1">
        <v>297.0</v>
      </c>
      <c r="E125" s="1" t="s">
        <v>185</v>
      </c>
      <c r="F125" s="5" t="s">
        <v>31</v>
      </c>
      <c r="G125" s="1">
        <v>14259.0</v>
      </c>
      <c r="H125" s="1">
        <v>4.0</v>
      </c>
      <c r="I125" s="8">
        <v>3564.75</v>
      </c>
      <c r="J125" s="1">
        <v>20.0</v>
      </c>
      <c r="K125" s="8">
        <v>5.0</v>
      </c>
      <c r="L125" s="1">
        <v>3.0</v>
      </c>
      <c r="M125" s="8">
        <v>8.415737428992215E-4</v>
      </c>
      <c r="N125" s="1">
        <v>68.0</v>
      </c>
      <c r="O125" s="8">
        <v>0.019075671505715687</v>
      </c>
      <c r="P125" s="1">
        <v>1.0</v>
      </c>
      <c r="Q125" s="1">
        <f t="shared" si="6"/>
        <v>8</v>
      </c>
      <c r="R125" s="1">
        <f>J125*Assumptions!$E$19</f>
        <v>5.2</v>
      </c>
      <c r="S125" s="3">
        <f>G125*Assumptions!$E$10*Assumptions!$E$6+J125*Assumptions!$E$7+M125*Assumptions!$E$13*Assumptions!$E$6+N125*Assumptions!$E$12*Assumptions!$E$6+Q125*Assumptions!$E$15*Assumptions!$E$6</f>
        <v>8911.229579</v>
      </c>
      <c r="T125" s="3">
        <f>R125*Assumptions!$E$20-H125*Assumptions!$E$21</f>
        <v>4400</v>
      </c>
      <c r="U125" s="3">
        <f t="shared" si="7"/>
        <v>13311.22958</v>
      </c>
      <c r="V125" s="4">
        <f>U125/H125/Assumptions!$E$21</f>
        <v>16.63903697</v>
      </c>
      <c r="W125" s="3">
        <f t="shared" si="8"/>
        <v>1.3</v>
      </c>
    </row>
    <row r="126" ht="15.75" customHeight="1">
      <c r="A126" s="1" t="s">
        <v>167</v>
      </c>
      <c r="B126" s="1" t="s">
        <v>168</v>
      </c>
      <c r="D126" s="1">
        <v>180.0</v>
      </c>
      <c r="E126" s="1" t="s">
        <v>186</v>
      </c>
      <c r="F126" s="5" t="s">
        <v>31</v>
      </c>
      <c r="G126" s="1">
        <v>10136.0</v>
      </c>
      <c r="H126" s="1">
        <v>3.0</v>
      </c>
      <c r="I126" s="8">
        <v>3378.6666666666665</v>
      </c>
      <c r="J126" s="1">
        <v>15.0</v>
      </c>
      <c r="K126" s="8">
        <v>5.0</v>
      </c>
      <c r="L126" s="1">
        <v>1.0</v>
      </c>
      <c r="M126" s="8">
        <v>2.9597474348855567E-4</v>
      </c>
      <c r="N126" s="1">
        <v>61.0</v>
      </c>
      <c r="O126" s="8">
        <v>0.018054459352801894</v>
      </c>
      <c r="P126" s="1">
        <v>1.0</v>
      </c>
      <c r="Q126" s="1">
        <f t="shared" si="6"/>
        <v>6</v>
      </c>
      <c r="R126" s="1">
        <f>J126*Assumptions!$E$19</f>
        <v>3.9</v>
      </c>
      <c r="S126" s="3">
        <f>G126*Assumptions!$E$10*Assumptions!$E$6+J126*Assumptions!$E$7+M126*Assumptions!$E$13*Assumptions!$E$6+N126*Assumptions!$E$12*Assumptions!$E$6+Q126*Assumptions!$E$15*Assumptions!$E$6</f>
        <v>6898.514799</v>
      </c>
      <c r="T126" s="3">
        <f>R126*Assumptions!$E$20-H126*Assumptions!$E$21</f>
        <v>3300</v>
      </c>
      <c r="U126" s="3">
        <f t="shared" si="7"/>
        <v>10198.5148</v>
      </c>
      <c r="V126" s="4">
        <f>U126/H126/Assumptions!$E$21</f>
        <v>16.99752466</v>
      </c>
      <c r="W126" s="3">
        <f t="shared" si="8"/>
        <v>1.3</v>
      </c>
    </row>
    <row r="127" ht="15.75" customHeight="1">
      <c r="A127" s="1" t="s">
        <v>167</v>
      </c>
      <c r="B127" s="1" t="s">
        <v>168</v>
      </c>
      <c r="D127" s="1">
        <v>155.0</v>
      </c>
      <c r="E127" s="1" t="s">
        <v>187</v>
      </c>
      <c r="F127" s="5" t="s">
        <v>31</v>
      </c>
      <c r="G127" s="1">
        <v>7423.0</v>
      </c>
      <c r="H127" s="1">
        <v>2.0</v>
      </c>
      <c r="I127" s="8">
        <v>3711.5</v>
      </c>
      <c r="J127" s="1">
        <v>11.0</v>
      </c>
      <c r="K127" s="8">
        <v>5.5</v>
      </c>
      <c r="L127" s="1">
        <v>0.0</v>
      </c>
      <c r="M127" s="8">
        <v>0.0</v>
      </c>
      <c r="N127" s="1">
        <v>45.0</v>
      </c>
      <c r="O127" s="8">
        <v>0.012124477973865014</v>
      </c>
      <c r="P127" s="1">
        <v>1.0</v>
      </c>
      <c r="Q127" s="1">
        <f t="shared" si="6"/>
        <v>4</v>
      </c>
      <c r="R127" s="1">
        <f>J127*Assumptions!$E$19</f>
        <v>2.86</v>
      </c>
      <c r="S127" s="3">
        <f>G127*Assumptions!$E$10*Assumptions!$E$6+J127*Assumptions!$E$7+M127*Assumptions!$E$13*Assumptions!$E$6+N127*Assumptions!$E$12*Assumptions!$E$6+Q127*Assumptions!$E$15*Assumptions!$E$6</f>
        <v>5044.9375</v>
      </c>
      <c r="T127" s="3">
        <f>R127*Assumptions!$E$20-H127*Assumptions!$E$21</f>
        <v>2460</v>
      </c>
      <c r="U127" s="3">
        <f t="shared" si="7"/>
        <v>7504.9375</v>
      </c>
      <c r="V127" s="4">
        <f>U127/H127/Assumptions!$E$21</f>
        <v>18.76234375</v>
      </c>
      <c r="W127" s="3">
        <f t="shared" si="8"/>
        <v>1.43</v>
      </c>
    </row>
    <row r="128" ht="15.75" customHeight="1">
      <c r="A128" s="1" t="s">
        <v>188</v>
      </c>
      <c r="B128" s="1" t="s">
        <v>189</v>
      </c>
      <c r="D128" s="1">
        <v>193.0</v>
      </c>
      <c r="E128" s="1" t="s">
        <v>190</v>
      </c>
      <c r="F128" s="5" t="s">
        <v>39</v>
      </c>
      <c r="G128" s="1">
        <v>295717.0</v>
      </c>
      <c r="H128" s="1">
        <v>88.0</v>
      </c>
      <c r="I128" s="8">
        <v>3360.4204545454545</v>
      </c>
      <c r="J128" s="1">
        <v>611.0</v>
      </c>
      <c r="K128" s="8">
        <v>6.943181818181818</v>
      </c>
      <c r="L128" s="1">
        <v>43.0</v>
      </c>
      <c r="M128" s="8">
        <v>0.012796017814329241</v>
      </c>
      <c r="N128" s="1">
        <v>1623.0</v>
      </c>
      <c r="O128" s="8">
        <v>0.48297527703851995</v>
      </c>
      <c r="P128" s="1">
        <v>2.0</v>
      </c>
      <c r="Q128" s="1">
        <f t="shared" si="6"/>
        <v>176</v>
      </c>
      <c r="R128" s="1">
        <f>J128*Assumptions!$E$19</f>
        <v>158.86</v>
      </c>
      <c r="S128" s="3">
        <f>G128*Assumptions!$E$10*Assumptions!$E$6+J128*Assumptions!$E$7+M128*Assumptions!$E$13*Assumptions!$E$6+N128*Assumptions!$E$12*Assumptions!$E$6+Q128*Assumptions!$E$15*Assumptions!$E$6</f>
        <v>248713.9523</v>
      </c>
      <c r="T128" s="3">
        <f>R128*Assumptions!$E$20-H128*Assumptions!$E$21</f>
        <v>141260</v>
      </c>
      <c r="U128" s="3">
        <f t="shared" si="7"/>
        <v>389973.9523</v>
      </c>
      <c r="V128" s="4">
        <f>U128/H128/Assumptions!$E$21</f>
        <v>22.15761093</v>
      </c>
      <c r="W128" s="3">
        <f t="shared" si="8"/>
        <v>1.805227273</v>
      </c>
    </row>
    <row r="129" ht="15.75" customHeight="1">
      <c r="A129" s="1" t="s">
        <v>191</v>
      </c>
      <c r="B129" s="1" t="s">
        <v>192</v>
      </c>
      <c r="D129" s="1">
        <v>240.0</v>
      </c>
      <c r="E129" s="1" t="s">
        <v>193</v>
      </c>
      <c r="F129" s="5" t="s">
        <v>31</v>
      </c>
      <c r="G129" s="1">
        <v>33011.0</v>
      </c>
      <c r="H129" s="1">
        <v>20.0</v>
      </c>
      <c r="I129" s="8">
        <v>1650.55</v>
      </c>
      <c r="J129" s="1">
        <v>49.0</v>
      </c>
      <c r="K129" s="8">
        <v>2.45</v>
      </c>
      <c r="L129" s="1">
        <v>4.0</v>
      </c>
      <c r="M129" s="8">
        <v>0.002423434612704856</v>
      </c>
      <c r="N129" s="1">
        <v>223.0</v>
      </c>
      <c r="O129" s="8">
        <v>0.13510647965829573</v>
      </c>
      <c r="P129" s="1">
        <v>18.0</v>
      </c>
      <c r="Q129" s="1">
        <f t="shared" si="6"/>
        <v>40</v>
      </c>
      <c r="R129" s="1">
        <f>J129*Assumptions!$E$19</f>
        <v>12.74</v>
      </c>
      <c r="S129" s="3">
        <f>G129*Assumptions!$E$10*Assumptions!$E$6+J129*Assumptions!$E$7+M129*Assumptions!$E$13*Assumptions!$E$6+N129*Assumptions!$E$12*Assumptions!$E$6+Q129*Assumptions!$E$15*Assumptions!$E$6</f>
        <v>24142.30867</v>
      </c>
      <c r="T129" s="3">
        <f>R129*Assumptions!$E$20-H129*Assumptions!$E$21</f>
        <v>8740</v>
      </c>
      <c r="U129" s="3">
        <f t="shared" si="7"/>
        <v>32882.30867</v>
      </c>
      <c r="V129" s="4">
        <f>U129/H129/Assumptions!$E$21</f>
        <v>8.220577168</v>
      </c>
      <c r="W129" s="3">
        <f t="shared" si="8"/>
        <v>0.637</v>
      </c>
    </row>
    <row r="130" ht="15.75" customHeight="1">
      <c r="A130" s="1" t="s">
        <v>191</v>
      </c>
      <c r="B130" s="1" t="s">
        <v>192</v>
      </c>
      <c r="D130" s="1">
        <v>253.0</v>
      </c>
      <c r="E130" s="1" t="s">
        <v>194</v>
      </c>
      <c r="F130" s="5" t="s">
        <v>31</v>
      </c>
      <c r="G130" s="1">
        <v>26228.0</v>
      </c>
      <c r="H130" s="1">
        <v>14.0</v>
      </c>
      <c r="I130" s="8">
        <v>1873.4285714285713</v>
      </c>
      <c r="J130" s="1">
        <v>40.0</v>
      </c>
      <c r="K130" s="8">
        <v>2.857142857142857</v>
      </c>
      <c r="L130" s="1">
        <v>2.0</v>
      </c>
      <c r="M130" s="8">
        <v>0.001067561384779625</v>
      </c>
      <c r="N130" s="1">
        <v>245.0</v>
      </c>
      <c r="O130" s="8">
        <v>0.13077626963550404</v>
      </c>
      <c r="P130" s="1">
        <v>20.0</v>
      </c>
      <c r="Q130" s="1">
        <f t="shared" si="6"/>
        <v>28</v>
      </c>
      <c r="R130" s="1">
        <f>J130*Assumptions!$E$19</f>
        <v>10.4</v>
      </c>
      <c r="S130" s="3">
        <f>G130*Assumptions!$E$10*Assumptions!$E$6+J130*Assumptions!$E$7+M130*Assumptions!$E$13*Assumptions!$E$6+N130*Assumptions!$E$12*Assumptions!$E$6+Q130*Assumptions!$E$15*Assumptions!$E$6</f>
        <v>21004.30338</v>
      </c>
      <c r="T130" s="3">
        <f>R130*Assumptions!$E$20-H130*Assumptions!$E$21</f>
        <v>7600</v>
      </c>
      <c r="U130" s="3">
        <f t="shared" si="7"/>
        <v>28604.30338</v>
      </c>
      <c r="V130" s="4">
        <f>U130/H130/Assumptions!$E$21</f>
        <v>10.21582264</v>
      </c>
      <c r="W130" s="3">
        <f t="shared" si="8"/>
        <v>0.7428571429</v>
      </c>
    </row>
    <row r="131" ht="15.75" customHeight="1">
      <c r="A131" s="1" t="s">
        <v>191</v>
      </c>
      <c r="B131" s="1" t="s">
        <v>192</v>
      </c>
      <c r="D131" s="1">
        <v>254.0</v>
      </c>
      <c r="E131" s="1" t="s">
        <v>195</v>
      </c>
      <c r="F131" s="5" t="s">
        <v>31</v>
      </c>
      <c r="G131" s="1">
        <v>31184.0</v>
      </c>
      <c r="H131" s="1">
        <v>12.0</v>
      </c>
      <c r="I131" s="8">
        <v>2598.6666666666665</v>
      </c>
      <c r="J131" s="1">
        <v>51.0</v>
      </c>
      <c r="K131" s="8">
        <v>4.25</v>
      </c>
      <c r="L131" s="1">
        <v>6.0</v>
      </c>
      <c r="M131" s="8">
        <v>0.002308876346844536</v>
      </c>
      <c r="N131" s="1">
        <v>314.0</v>
      </c>
      <c r="O131" s="8">
        <v>0.12083119548486404</v>
      </c>
      <c r="P131" s="1">
        <v>5.0</v>
      </c>
      <c r="Q131" s="1">
        <f t="shared" si="6"/>
        <v>24</v>
      </c>
      <c r="R131" s="1">
        <f>J131*Assumptions!$E$19</f>
        <v>13.26</v>
      </c>
      <c r="S131" s="3">
        <f>G131*Assumptions!$E$10*Assumptions!$E$6+J131*Assumptions!$E$7+M131*Assumptions!$E$13*Assumptions!$E$6+N131*Assumptions!$E$12*Assumptions!$E$6+Q131*Assumptions!$E$15*Assumptions!$E$6</f>
        <v>26095.11544</v>
      </c>
      <c r="T131" s="3">
        <f>R131*Assumptions!$E$20-H131*Assumptions!$E$21</f>
        <v>10860</v>
      </c>
      <c r="U131" s="3">
        <f t="shared" si="7"/>
        <v>36955.11544</v>
      </c>
      <c r="V131" s="4">
        <f>U131/H131/Assumptions!$E$21</f>
        <v>15.39796477</v>
      </c>
      <c r="W131" s="3">
        <f t="shared" si="8"/>
        <v>1.105</v>
      </c>
    </row>
    <row r="132" ht="15.75" customHeight="1">
      <c r="A132" s="1" t="s">
        <v>191</v>
      </c>
      <c r="B132" s="1" t="s">
        <v>192</v>
      </c>
      <c r="D132" s="1">
        <v>219.0</v>
      </c>
      <c r="E132" s="1" t="s">
        <v>196</v>
      </c>
      <c r="F132" s="5" t="s">
        <v>31</v>
      </c>
      <c r="G132" s="1">
        <v>31179.0</v>
      </c>
      <c r="H132" s="1">
        <v>10.0</v>
      </c>
      <c r="I132" s="8">
        <v>3117.9</v>
      </c>
      <c r="J132" s="1">
        <v>20.0</v>
      </c>
      <c r="K132" s="8">
        <v>2.0</v>
      </c>
      <c r="L132" s="1">
        <v>0.0</v>
      </c>
      <c r="M132" s="8">
        <v>0.0</v>
      </c>
      <c r="N132" s="1">
        <v>271.0</v>
      </c>
      <c r="O132" s="8">
        <v>0.08691747650662304</v>
      </c>
      <c r="P132" s="1">
        <v>1.0</v>
      </c>
      <c r="Q132" s="1">
        <f t="shared" si="6"/>
        <v>20</v>
      </c>
      <c r="R132" s="1">
        <f>J132*Assumptions!$E$19</f>
        <v>5.2</v>
      </c>
      <c r="S132" s="3">
        <f>G132*Assumptions!$E$10*Assumptions!$E$6+J132*Assumptions!$E$7+M132*Assumptions!$E$13*Assumptions!$E$6+N132*Assumptions!$E$12*Assumptions!$E$6+Q132*Assumptions!$E$15*Assumptions!$E$6</f>
        <v>15643.6875</v>
      </c>
      <c r="T132" s="3">
        <f>R132*Assumptions!$E$20-H132*Assumptions!$E$21</f>
        <v>3200</v>
      </c>
      <c r="U132" s="3">
        <f t="shared" si="7"/>
        <v>18843.6875</v>
      </c>
      <c r="V132" s="4">
        <f>U132/H132/Assumptions!$E$21</f>
        <v>9.42184375</v>
      </c>
      <c r="W132" s="3">
        <f t="shared" si="8"/>
        <v>0.52</v>
      </c>
    </row>
    <row r="133" ht="15.75" customHeight="1">
      <c r="A133" s="1" t="s">
        <v>191</v>
      </c>
      <c r="B133" s="1" t="s">
        <v>192</v>
      </c>
      <c r="D133" s="1">
        <v>245.0</v>
      </c>
      <c r="E133" s="1" t="s">
        <v>197</v>
      </c>
      <c r="F133" s="5" t="s">
        <v>31</v>
      </c>
      <c r="G133" s="1">
        <v>16458.0</v>
      </c>
      <c r="H133" s="1">
        <v>10.0</v>
      </c>
      <c r="I133" s="8">
        <v>1645.8</v>
      </c>
      <c r="J133" s="1">
        <v>31.0</v>
      </c>
      <c r="K133" s="8">
        <v>3.1</v>
      </c>
      <c r="L133" s="1">
        <v>4.0</v>
      </c>
      <c r="M133" s="8">
        <v>0.002430428970713331</v>
      </c>
      <c r="N133" s="1">
        <v>186.0</v>
      </c>
      <c r="O133" s="8">
        <v>0.1130149471381699</v>
      </c>
      <c r="P133" s="1">
        <v>3.0</v>
      </c>
      <c r="Q133" s="1">
        <f t="shared" si="6"/>
        <v>20</v>
      </c>
      <c r="R133" s="1">
        <f>J133*Assumptions!$E$19</f>
        <v>8.06</v>
      </c>
      <c r="S133" s="3">
        <f>G133*Assumptions!$E$10*Assumptions!$E$6+J133*Assumptions!$E$7+M133*Assumptions!$E$13*Assumptions!$E$6+N133*Assumptions!$E$12*Assumptions!$E$6+Q133*Assumptions!$E$15*Assumptions!$E$6</f>
        <v>15854.74652</v>
      </c>
      <c r="T133" s="3">
        <f>R133*Assumptions!$E$20-H133*Assumptions!$E$21</f>
        <v>6060</v>
      </c>
      <c r="U133" s="3">
        <f t="shared" si="7"/>
        <v>21914.74652</v>
      </c>
      <c r="V133" s="4">
        <f>U133/H133/Assumptions!$E$21</f>
        <v>10.95737326</v>
      </c>
      <c r="W133" s="3">
        <f t="shared" si="8"/>
        <v>0.806</v>
      </c>
    </row>
    <row r="134" ht="15.75" customHeight="1">
      <c r="A134" s="1" t="s">
        <v>191</v>
      </c>
      <c r="B134" s="1" t="s">
        <v>192</v>
      </c>
      <c r="D134" s="1">
        <v>286.0</v>
      </c>
      <c r="E134" s="1" t="s">
        <v>198</v>
      </c>
      <c r="F134" s="5" t="s">
        <v>31</v>
      </c>
      <c r="G134" s="1">
        <v>23811.0</v>
      </c>
      <c r="H134" s="1">
        <v>9.0</v>
      </c>
      <c r="I134" s="8">
        <v>2645.6666666666665</v>
      </c>
      <c r="J134" s="1">
        <v>23.0</v>
      </c>
      <c r="K134" s="8">
        <v>2.5555555555555554</v>
      </c>
      <c r="L134" s="1">
        <v>2.0</v>
      </c>
      <c r="M134" s="8">
        <v>7.559531309058839E-4</v>
      </c>
      <c r="N134" s="1">
        <v>152.0</v>
      </c>
      <c r="O134" s="8">
        <v>0.057452437948847176</v>
      </c>
      <c r="P134" s="1">
        <v>4.0</v>
      </c>
      <c r="Q134" s="1">
        <f t="shared" si="6"/>
        <v>18</v>
      </c>
      <c r="R134" s="1">
        <f>J134*Assumptions!$E$19</f>
        <v>5.98</v>
      </c>
      <c r="S134" s="3">
        <f>G134*Assumptions!$E$10*Assumptions!$E$6+J134*Assumptions!$E$7+M134*Assumptions!$E$13*Assumptions!$E$6+N134*Assumptions!$E$12*Assumptions!$E$6+Q134*Assumptions!$E$15*Assumptions!$E$6</f>
        <v>12996.2253</v>
      </c>
      <c r="T134" s="3">
        <f>R134*Assumptions!$E$20-H134*Assumptions!$E$21</f>
        <v>4180</v>
      </c>
      <c r="U134" s="3">
        <f t="shared" si="7"/>
        <v>17176.2253</v>
      </c>
      <c r="V134" s="4">
        <f>U134/H134/Assumptions!$E$21</f>
        <v>9.542347388</v>
      </c>
      <c r="W134" s="3">
        <f t="shared" si="8"/>
        <v>0.6644444444</v>
      </c>
    </row>
    <row r="135" ht="15.75" customHeight="1">
      <c r="A135" s="1" t="s">
        <v>191</v>
      </c>
      <c r="B135" s="1" t="s">
        <v>192</v>
      </c>
      <c r="D135" s="1">
        <v>252.0</v>
      </c>
      <c r="E135" s="1" t="s">
        <v>199</v>
      </c>
      <c r="F135" s="5" t="s">
        <v>31</v>
      </c>
      <c r="G135" s="1">
        <v>4638.0</v>
      </c>
      <c r="H135" s="1">
        <v>5.0</v>
      </c>
      <c r="I135" s="8">
        <v>927.6</v>
      </c>
      <c r="J135" s="1">
        <v>15.0</v>
      </c>
      <c r="K135" s="8">
        <v>3.0</v>
      </c>
      <c r="L135" s="1">
        <v>2.0</v>
      </c>
      <c r="M135" s="8">
        <v>0.0021561017680034496</v>
      </c>
      <c r="N135" s="1">
        <v>79.0</v>
      </c>
      <c r="O135" s="8">
        <v>0.08516601983613627</v>
      </c>
      <c r="P135" s="1">
        <v>10.0</v>
      </c>
      <c r="Q135" s="1">
        <f t="shared" si="6"/>
        <v>10</v>
      </c>
      <c r="R135" s="1">
        <f>J135*Assumptions!$E$19</f>
        <v>3.9</v>
      </c>
      <c r="S135" s="3">
        <f>G135*Assumptions!$E$10*Assumptions!$E$6+J135*Assumptions!$E$7+M135*Assumptions!$E$13*Assumptions!$E$6+N135*Assumptions!$E$12*Assumptions!$E$6+Q135*Assumptions!$E$15*Assumptions!$E$6</f>
        <v>7204.982805</v>
      </c>
      <c r="T135" s="3">
        <f>R135*Assumptions!$E$20-H135*Assumptions!$E$21</f>
        <v>2900</v>
      </c>
      <c r="U135" s="3">
        <f t="shared" si="7"/>
        <v>10104.98281</v>
      </c>
      <c r="V135" s="4">
        <f>U135/H135/Assumptions!$E$21</f>
        <v>10.10498281</v>
      </c>
      <c r="W135" s="3">
        <f t="shared" si="8"/>
        <v>0.78</v>
      </c>
    </row>
    <row r="136" ht="15.75" customHeight="1">
      <c r="A136" s="1" t="s">
        <v>191</v>
      </c>
      <c r="B136" s="1" t="s">
        <v>192</v>
      </c>
      <c r="D136" s="1">
        <v>255.0</v>
      </c>
      <c r="E136" s="1" t="s">
        <v>200</v>
      </c>
      <c r="F136" s="5" t="s">
        <v>31</v>
      </c>
      <c r="G136" s="1">
        <v>5367.0</v>
      </c>
      <c r="H136" s="1">
        <v>5.0</v>
      </c>
      <c r="I136" s="8">
        <v>1073.4</v>
      </c>
      <c r="J136" s="1">
        <v>16.0</v>
      </c>
      <c r="K136" s="8">
        <v>3.2</v>
      </c>
      <c r="L136" s="1">
        <v>4.0</v>
      </c>
      <c r="M136" s="8">
        <v>0.003726476616359232</v>
      </c>
      <c r="N136" s="1">
        <v>93.0</v>
      </c>
      <c r="O136" s="8">
        <v>0.08664058133035214</v>
      </c>
      <c r="P136" s="1">
        <v>4.0</v>
      </c>
      <c r="Q136" s="1">
        <f t="shared" si="6"/>
        <v>10</v>
      </c>
      <c r="R136" s="1">
        <f>J136*Assumptions!$E$19</f>
        <v>4.16</v>
      </c>
      <c r="S136" s="3">
        <f>G136*Assumptions!$E$10*Assumptions!$E$6+J136*Assumptions!$E$7+M136*Assumptions!$E$13*Assumptions!$E$6+N136*Assumptions!$E$12*Assumptions!$E$6+Q136*Assumptions!$E$15*Assumptions!$E$6</f>
        <v>7896.623824</v>
      </c>
      <c r="T136" s="3">
        <f>R136*Assumptions!$E$20-H136*Assumptions!$E$21</f>
        <v>3160</v>
      </c>
      <c r="U136" s="3">
        <f t="shared" si="7"/>
        <v>11056.62382</v>
      </c>
      <c r="V136" s="4">
        <f>U136/H136/Assumptions!$E$21</f>
        <v>11.05662382</v>
      </c>
      <c r="W136" s="3">
        <f t="shared" si="8"/>
        <v>0.832</v>
      </c>
    </row>
    <row r="137" ht="15.75" customHeight="1">
      <c r="A137" s="1" t="s">
        <v>191</v>
      </c>
      <c r="B137" s="1" t="s">
        <v>192</v>
      </c>
      <c r="D137" s="1">
        <v>310.0</v>
      </c>
      <c r="E137" s="1" t="s">
        <v>201</v>
      </c>
      <c r="F137" s="5" t="s">
        <v>31</v>
      </c>
      <c r="G137" s="1">
        <v>22011.0</v>
      </c>
      <c r="H137" s="1">
        <v>5.0</v>
      </c>
      <c r="I137" s="8">
        <v>4402.2</v>
      </c>
      <c r="J137" s="1">
        <v>22.0</v>
      </c>
      <c r="K137" s="8">
        <v>4.4</v>
      </c>
      <c r="L137" s="1">
        <v>4.0</v>
      </c>
      <c r="M137" s="8">
        <v>9.086365907955114E-4</v>
      </c>
      <c r="N137" s="1">
        <v>109.0</v>
      </c>
      <c r="O137" s="8">
        <v>0.024760347099177685</v>
      </c>
      <c r="P137" s="1">
        <v>1.0</v>
      </c>
      <c r="Q137" s="1">
        <f t="shared" si="6"/>
        <v>10</v>
      </c>
      <c r="R137" s="1">
        <f>J137*Assumptions!$E$19</f>
        <v>5.72</v>
      </c>
      <c r="S137" s="3">
        <f>G137*Assumptions!$E$10*Assumptions!$E$6+J137*Assumptions!$E$7+M137*Assumptions!$E$13*Assumptions!$E$6+N137*Assumptions!$E$12*Assumptions!$E$6+Q137*Assumptions!$E$15*Assumptions!$E$6</f>
        <v>11112.73293</v>
      </c>
      <c r="T137" s="3">
        <f>R137*Assumptions!$E$20-H137*Assumptions!$E$21</f>
        <v>4720</v>
      </c>
      <c r="U137" s="3">
        <f t="shared" si="7"/>
        <v>15832.73293</v>
      </c>
      <c r="V137" s="4">
        <f>U137/H137/Assumptions!$E$21</f>
        <v>15.83273293</v>
      </c>
      <c r="W137" s="3">
        <f t="shared" si="8"/>
        <v>1.144</v>
      </c>
    </row>
    <row r="138" ht="15.75" customHeight="1">
      <c r="A138" s="1" t="s">
        <v>191</v>
      </c>
      <c r="B138" s="1" t="s">
        <v>192</v>
      </c>
      <c r="D138" s="1">
        <v>348.0</v>
      </c>
      <c r="E138" s="1" t="s">
        <v>202</v>
      </c>
      <c r="F138" s="5" t="s">
        <v>31</v>
      </c>
      <c r="G138" s="1">
        <v>9423.0</v>
      </c>
      <c r="H138" s="1">
        <v>4.0</v>
      </c>
      <c r="I138" s="8">
        <v>2355.75</v>
      </c>
      <c r="J138" s="1">
        <v>33.0</v>
      </c>
      <c r="K138" s="8">
        <v>8.25</v>
      </c>
      <c r="L138" s="1">
        <v>5.0</v>
      </c>
      <c r="M138" s="8">
        <v>0.0021224663058473947</v>
      </c>
      <c r="N138" s="1">
        <v>70.0</v>
      </c>
      <c r="O138" s="8">
        <v>0.029714528281863526</v>
      </c>
      <c r="P138" s="1">
        <v>2.0</v>
      </c>
      <c r="Q138" s="1">
        <f t="shared" si="6"/>
        <v>8</v>
      </c>
      <c r="R138" s="1">
        <f>J138*Assumptions!$E$19</f>
        <v>8.58</v>
      </c>
      <c r="S138" s="3">
        <f>G138*Assumptions!$E$10*Assumptions!$E$6+J138*Assumptions!$E$7+M138*Assumptions!$E$13*Assumptions!$E$6+N138*Assumptions!$E$12*Assumptions!$E$6+Q138*Assumptions!$E$15*Assumptions!$E$6</f>
        <v>12507.04362</v>
      </c>
      <c r="T138" s="3">
        <f>R138*Assumptions!$E$20-H138*Assumptions!$E$21</f>
        <v>7780</v>
      </c>
      <c r="U138" s="3">
        <f t="shared" si="7"/>
        <v>20287.04362</v>
      </c>
      <c r="V138" s="4">
        <f>U138/H138/Assumptions!$E$21</f>
        <v>25.35880453</v>
      </c>
      <c r="W138" s="3">
        <f t="shared" si="8"/>
        <v>2.145</v>
      </c>
    </row>
    <row r="139" ht="15.75" customHeight="1">
      <c r="A139" s="1" t="s">
        <v>191</v>
      </c>
      <c r="B139" s="1" t="s">
        <v>192</v>
      </c>
      <c r="D139" s="1">
        <v>270.0</v>
      </c>
      <c r="E139" s="1" t="s">
        <v>203</v>
      </c>
      <c r="F139" s="5" t="s">
        <v>31</v>
      </c>
      <c r="G139" s="1">
        <v>4483.0</v>
      </c>
      <c r="H139" s="1">
        <v>3.0</v>
      </c>
      <c r="I139" s="8">
        <v>1494.3333333333333</v>
      </c>
      <c r="J139" s="1">
        <v>0.0</v>
      </c>
      <c r="K139" s="8">
        <v>0.0</v>
      </c>
      <c r="L139" s="1">
        <v>0.0</v>
      </c>
      <c r="M139" s="8">
        <v>0.0</v>
      </c>
      <c r="N139" s="1">
        <v>0.0</v>
      </c>
      <c r="O139" s="8">
        <v>0.0</v>
      </c>
      <c r="P139" s="1">
        <v>1.0</v>
      </c>
      <c r="Q139" s="1">
        <f t="shared" si="6"/>
        <v>6</v>
      </c>
      <c r="R139" s="1">
        <f>J139*Assumptions!$E$19</f>
        <v>0</v>
      </c>
      <c r="S139" s="3">
        <f>G139*Assumptions!$E$10*Assumptions!$E$6+J139*Assumptions!$E$7+M139*Assumptions!$E$13*Assumptions!$E$6+N139*Assumptions!$E$12*Assumptions!$E$6+Q139*Assumptions!$E$15*Assumptions!$E$6</f>
        <v>580.1875</v>
      </c>
      <c r="T139" s="3">
        <f>R139*Assumptions!$E$20-H139*Assumptions!$E$21</f>
        <v>-600</v>
      </c>
      <c r="U139" s="3">
        <f t="shared" si="7"/>
        <v>-19.8125</v>
      </c>
      <c r="V139" s="4">
        <f>U139/H139/Assumptions!$E$21</f>
        <v>-0.03302083333</v>
      </c>
      <c r="W139" s="3">
        <f t="shared" si="8"/>
        <v>0</v>
      </c>
    </row>
    <row r="140" ht="15.75" customHeight="1">
      <c r="A140" s="1" t="s">
        <v>191</v>
      </c>
      <c r="B140" s="1" t="s">
        <v>192</v>
      </c>
      <c r="D140" s="1">
        <v>273.0</v>
      </c>
      <c r="E140" s="1" t="s">
        <v>204</v>
      </c>
      <c r="F140" s="5" t="s">
        <v>31</v>
      </c>
      <c r="G140" s="1">
        <v>13100.0</v>
      </c>
      <c r="H140" s="1">
        <v>3.0</v>
      </c>
      <c r="I140" s="8">
        <v>4366.666666666667</v>
      </c>
      <c r="J140" s="1">
        <v>43.0</v>
      </c>
      <c r="K140" s="8">
        <v>14.333333333333334</v>
      </c>
      <c r="L140" s="1">
        <v>5.0</v>
      </c>
      <c r="M140" s="8">
        <v>0.0011450381679389311</v>
      </c>
      <c r="N140" s="1">
        <v>160.0</v>
      </c>
      <c r="O140" s="8">
        <v>0.036641221374045796</v>
      </c>
      <c r="P140" s="1">
        <v>1.0</v>
      </c>
      <c r="Q140" s="1">
        <f t="shared" si="6"/>
        <v>6</v>
      </c>
      <c r="R140" s="1">
        <f>J140*Assumptions!$E$19</f>
        <v>11.18</v>
      </c>
      <c r="S140" s="3">
        <f>G140*Assumptions!$E$10*Assumptions!$E$6+J140*Assumptions!$E$7+M140*Assumptions!$E$13*Assumptions!$E$6+N140*Assumptions!$E$12*Assumptions!$E$6+Q140*Assumptions!$E$15*Assumptions!$E$6</f>
        <v>17846.80725</v>
      </c>
      <c r="T140" s="3">
        <f>R140*Assumptions!$E$20-H140*Assumptions!$E$21</f>
        <v>10580</v>
      </c>
      <c r="U140" s="3">
        <f t="shared" si="7"/>
        <v>28426.80725</v>
      </c>
      <c r="V140" s="4">
        <f>U140/H140/Assumptions!$E$21</f>
        <v>47.37801209</v>
      </c>
      <c r="W140" s="3">
        <f t="shared" si="8"/>
        <v>3.726666667</v>
      </c>
    </row>
    <row r="141" ht="15.75" customHeight="1">
      <c r="A141" s="1" t="s">
        <v>191</v>
      </c>
      <c r="B141" s="1" t="s">
        <v>192</v>
      </c>
      <c r="D141" s="1">
        <v>350.0</v>
      </c>
      <c r="E141" s="1" t="s">
        <v>205</v>
      </c>
      <c r="F141" s="5" t="s">
        <v>31</v>
      </c>
      <c r="G141" s="1">
        <v>13044.0</v>
      </c>
      <c r="H141" s="1">
        <v>3.0</v>
      </c>
      <c r="I141" s="8">
        <v>4348.0</v>
      </c>
      <c r="J141" s="1">
        <v>9.0</v>
      </c>
      <c r="K141" s="8">
        <v>3.0</v>
      </c>
      <c r="L141" s="1">
        <v>1.0</v>
      </c>
      <c r="M141" s="8">
        <v>2.2999080036798528E-4</v>
      </c>
      <c r="N141" s="1">
        <v>41.0</v>
      </c>
      <c r="O141" s="8">
        <v>0.009429622815087397</v>
      </c>
      <c r="P141" s="1">
        <v>1.0</v>
      </c>
      <c r="Q141" s="1">
        <f t="shared" si="6"/>
        <v>6</v>
      </c>
      <c r="R141" s="1">
        <f>J141*Assumptions!$E$19</f>
        <v>2.34</v>
      </c>
      <c r="S141" s="3">
        <f>G141*Assumptions!$E$10*Assumptions!$E$6+J141*Assumptions!$E$7+M141*Assumptions!$E$13*Assumptions!$E$6+N141*Assumptions!$E$12*Assumptions!$E$6+Q141*Assumptions!$E$15*Assumptions!$E$6</f>
        <v>4804.2615</v>
      </c>
      <c r="T141" s="3">
        <f>R141*Assumptions!$E$20-H141*Assumptions!$E$21</f>
        <v>1740</v>
      </c>
      <c r="U141" s="3">
        <f t="shared" si="7"/>
        <v>6544.2615</v>
      </c>
      <c r="V141" s="4">
        <f>U141/H141/Assumptions!$E$21</f>
        <v>10.9071025</v>
      </c>
      <c r="W141" s="3">
        <f t="shared" si="8"/>
        <v>0.78</v>
      </c>
    </row>
    <row r="142" ht="15.75" customHeight="1">
      <c r="A142" s="1" t="s">
        <v>191</v>
      </c>
      <c r="B142" s="1" t="s">
        <v>192</v>
      </c>
      <c r="D142" s="1">
        <v>258.0</v>
      </c>
      <c r="E142" s="1" t="s">
        <v>206</v>
      </c>
      <c r="F142" s="5" t="s">
        <v>31</v>
      </c>
      <c r="G142" s="1">
        <v>800.0</v>
      </c>
      <c r="H142" s="1">
        <v>2.0</v>
      </c>
      <c r="I142" s="8">
        <v>400.0</v>
      </c>
      <c r="J142" s="1">
        <v>3.0</v>
      </c>
      <c r="K142" s="8">
        <v>1.5</v>
      </c>
      <c r="L142" s="1">
        <v>0.0</v>
      </c>
      <c r="M142" s="8">
        <v>0.0</v>
      </c>
      <c r="N142" s="1">
        <v>32.0</v>
      </c>
      <c r="O142" s="8">
        <v>0.08</v>
      </c>
      <c r="P142" s="1">
        <v>1.0</v>
      </c>
      <c r="Q142" s="1">
        <f t="shared" si="6"/>
        <v>4</v>
      </c>
      <c r="R142" s="1">
        <f>J142*Assumptions!$E$19</f>
        <v>0.78</v>
      </c>
      <c r="S142" s="3">
        <f>G142*Assumptions!$E$10*Assumptions!$E$6+J142*Assumptions!$E$7+M142*Assumptions!$E$13*Assumptions!$E$6+N142*Assumptions!$E$12*Assumptions!$E$6+Q142*Assumptions!$E$15*Assumptions!$E$6</f>
        <v>1938</v>
      </c>
      <c r="T142" s="3">
        <f>R142*Assumptions!$E$20-H142*Assumptions!$E$21</f>
        <v>380</v>
      </c>
      <c r="U142" s="3">
        <f t="shared" si="7"/>
        <v>2318</v>
      </c>
      <c r="V142" s="4">
        <f>U142/H142/Assumptions!$E$21</f>
        <v>5.795</v>
      </c>
      <c r="W142" s="3">
        <f t="shared" si="8"/>
        <v>0.39</v>
      </c>
    </row>
    <row r="143" ht="15.75" customHeight="1">
      <c r="A143" s="1" t="s">
        <v>191</v>
      </c>
      <c r="B143" s="1" t="s">
        <v>192</v>
      </c>
      <c r="D143" s="1">
        <v>292.0</v>
      </c>
      <c r="E143" s="1" t="s">
        <v>207</v>
      </c>
      <c r="F143" s="5" t="s">
        <v>31</v>
      </c>
      <c r="G143" s="1">
        <v>7416.0</v>
      </c>
      <c r="H143" s="1">
        <v>2.0</v>
      </c>
      <c r="I143" s="8">
        <v>3708.0</v>
      </c>
      <c r="J143" s="1">
        <v>0.0</v>
      </c>
      <c r="K143" s="8">
        <v>0.0</v>
      </c>
      <c r="L143" s="1">
        <v>2.0</v>
      </c>
      <c r="M143" s="8">
        <v>5.393743257820927E-4</v>
      </c>
      <c r="N143" s="1">
        <v>41.0</v>
      </c>
      <c r="O143" s="8">
        <v>0.011057173678532902</v>
      </c>
      <c r="P143" s="1">
        <v>2.0</v>
      </c>
      <c r="Q143" s="1">
        <f t="shared" si="6"/>
        <v>4</v>
      </c>
      <c r="R143" s="1">
        <f>J143*Assumptions!$E$19</f>
        <v>0</v>
      </c>
      <c r="S143" s="3">
        <f>G143*Assumptions!$E$10*Assumptions!$E$6+J143*Assumptions!$E$7+M143*Assumptions!$E$13*Assumptions!$E$6+N143*Assumptions!$E$12*Assumptions!$E$6+Q143*Assumptions!$E$15*Assumptions!$E$6</f>
        <v>1688.526969</v>
      </c>
      <c r="T143" s="3">
        <f>R143*Assumptions!$E$20-H143*Assumptions!$E$21</f>
        <v>-400</v>
      </c>
      <c r="U143" s="3">
        <f t="shared" si="7"/>
        <v>1288.526969</v>
      </c>
      <c r="V143" s="4">
        <f>U143/H143/Assumptions!$E$21</f>
        <v>3.221317422</v>
      </c>
      <c r="W143" s="3">
        <f t="shared" si="8"/>
        <v>0</v>
      </c>
    </row>
    <row r="144" ht="15.75" customHeight="1">
      <c r="A144" s="1" t="s">
        <v>208</v>
      </c>
      <c r="B144" s="1" t="s">
        <v>209</v>
      </c>
      <c r="D144" s="1">
        <v>305.0</v>
      </c>
      <c r="E144" s="1" t="s">
        <v>210</v>
      </c>
      <c r="F144" s="5" t="s">
        <v>31</v>
      </c>
      <c r="G144" s="1">
        <v>132243.0</v>
      </c>
      <c r="H144" s="1">
        <v>384.0</v>
      </c>
      <c r="I144" s="8">
        <v>344.3828125</v>
      </c>
      <c r="J144" s="1">
        <v>2.0</v>
      </c>
      <c r="K144" s="8">
        <v>0.005208333333333333</v>
      </c>
      <c r="L144" s="1">
        <v>31.0</v>
      </c>
      <c r="M144" s="8">
        <v>0.09001610671264264</v>
      </c>
      <c r="N144" s="1">
        <v>2250.0</v>
      </c>
      <c r="O144" s="8">
        <v>6.533427100111159</v>
      </c>
      <c r="P144" s="1">
        <v>8.0</v>
      </c>
      <c r="Q144" s="1">
        <f t="shared" si="6"/>
        <v>768</v>
      </c>
      <c r="R144" s="1">
        <f>J144*Assumptions!$E$19</f>
        <v>0.52</v>
      </c>
      <c r="S144" s="3">
        <f>G144*Assumptions!$E$10*Assumptions!$E$6+J144*Assumptions!$E$7+M144*Assumptions!$E$13*Assumptions!$E$6+N144*Assumptions!$E$12*Assumptions!$E$6+Q144*Assumptions!$E$15*Assumptions!$E$6</f>
        <v>103511.6883</v>
      </c>
      <c r="T144" s="3">
        <f>R144*Assumptions!$E$20-H144*Assumptions!$E$21</f>
        <v>-76280</v>
      </c>
      <c r="U144" s="3">
        <f t="shared" si="7"/>
        <v>27231.68831</v>
      </c>
      <c r="V144" s="4">
        <f>U144/H144/Assumptions!$E$21</f>
        <v>0.3545792748</v>
      </c>
      <c r="W144" s="3">
        <f t="shared" si="8"/>
        <v>0.001354166667</v>
      </c>
    </row>
    <row r="145" ht="15.75" customHeight="1">
      <c r="A145" s="1" t="s">
        <v>211</v>
      </c>
      <c r="B145" s="1" t="s">
        <v>212</v>
      </c>
      <c r="D145" s="1">
        <v>308.0</v>
      </c>
      <c r="E145" s="1" t="s">
        <v>213</v>
      </c>
      <c r="F145" s="5" t="s">
        <v>31</v>
      </c>
      <c r="G145" s="1">
        <v>292643.0</v>
      </c>
      <c r="H145" s="1">
        <v>331.0</v>
      </c>
      <c r="I145" s="8">
        <v>884.1178247734139</v>
      </c>
      <c r="J145" s="1">
        <v>0.0</v>
      </c>
      <c r="K145" s="8">
        <v>0.0</v>
      </c>
      <c r="L145" s="1">
        <v>181.0</v>
      </c>
      <c r="M145" s="8">
        <v>0.2047238444111084</v>
      </c>
      <c r="N145" s="1">
        <v>4431.0</v>
      </c>
      <c r="O145" s="8">
        <v>5.011775439699566</v>
      </c>
      <c r="P145" s="1">
        <v>13.0</v>
      </c>
      <c r="Q145" s="1">
        <f t="shared" si="6"/>
        <v>662</v>
      </c>
      <c r="R145" s="1">
        <f>J145*Assumptions!$E$19</f>
        <v>0</v>
      </c>
      <c r="S145" s="3">
        <f>G145*Assumptions!$E$10*Assumptions!$E$6+J145*Assumptions!$E$7+M145*Assumptions!$E$13*Assumptions!$E$6+N145*Assumptions!$E$12*Assumptions!$E$6+Q145*Assumptions!$E$15*Assumptions!$E$6</f>
        <v>162175.4237</v>
      </c>
      <c r="T145" s="3">
        <f>R145*Assumptions!$E$20-H145*Assumptions!$E$21</f>
        <v>-66200</v>
      </c>
      <c r="U145" s="3">
        <f t="shared" si="7"/>
        <v>95975.42369</v>
      </c>
      <c r="V145" s="4">
        <f>U145/H145/Assumptions!$E$21</f>
        <v>1.449779814</v>
      </c>
      <c r="W145" s="3">
        <f t="shared" si="8"/>
        <v>0</v>
      </c>
    </row>
    <row r="146" ht="15.75" customHeight="1">
      <c r="A146" s="1" t="s">
        <v>214</v>
      </c>
      <c r="B146" s="1" t="s">
        <v>74</v>
      </c>
      <c r="D146" s="1">
        <v>272.0</v>
      </c>
      <c r="E146" s="1" t="s">
        <v>215</v>
      </c>
      <c r="F146" s="5" t="s">
        <v>31</v>
      </c>
      <c r="G146" s="1">
        <v>39511.0</v>
      </c>
      <c r="H146" s="1">
        <v>101.0</v>
      </c>
      <c r="I146" s="8">
        <v>391.1980198019802</v>
      </c>
      <c r="J146" s="1">
        <v>0.0</v>
      </c>
      <c r="K146" s="8">
        <v>0.0</v>
      </c>
      <c r="L146" s="1">
        <v>73.0</v>
      </c>
      <c r="M146" s="8">
        <v>0.1866062615474172</v>
      </c>
      <c r="N146" s="1">
        <v>2131.0</v>
      </c>
      <c r="O146" s="8">
        <v>5.447369087089672</v>
      </c>
      <c r="P146" s="1">
        <v>13.0</v>
      </c>
      <c r="Q146" s="1">
        <f t="shared" si="6"/>
        <v>202</v>
      </c>
      <c r="R146" s="1">
        <f>J146*Assumptions!$E$19</f>
        <v>0</v>
      </c>
      <c r="S146" s="3">
        <f>G146*Assumptions!$E$10*Assumptions!$E$6+J146*Assumptions!$E$7+M146*Assumptions!$E$13*Assumptions!$E$6+N146*Assumptions!$E$12*Assumptions!$E$6+Q146*Assumptions!$E$15*Assumptions!$E$6</f>
        <v>65853.76781</v>
      </c>
      <c r="T146" s="3">
        <f>R146*Assumptions!$E$20-H146*Assumptions!$E$21</f>
        <v>-20200</v>
      </c>
      <c r="U146" s="3">
        <f t="shared" si="7"/>
        <v>45653.76781</v>
      </c>
      <c r="V146" s="4">
        <f>U146/H146/Assumptions!$E$21</f>
        <v>2.260087515</v>
      </c>
      <c r="W146" s="3">
        <f t="shared" si="8"/>
        <v>0</v>
      </c>
    </row>
    <row r="147" ht="15.75" customHeight="1">
      <c r="A147" s="1" t="s">
        <v>214</v>
      </c>
      <c r="B147" s="1" t="s">
        <v>74</v>
      </c>
      <c r="D147" s="1">
        <v>216.0</v>
      </c>
      <c r="E147" s="1" t="s">
        <v>216</v>
      </c>
      <c r="F147" s="5" t="s">
        <v>31</v>
      </c>
      <c r="G147" s="1">
        <v>29358.0</v>
      </c>
      <c r="H147" s="1">
        <v>25.0</v>
      </c>
      <c r="I147" s="8">
        <v>1174.32</v>
      </c>
      <c r="J147" s="1">
        <v>58.0</v>
      </c>
      <c r="K147" s="8">
        <v>2.32</v>
      </c>
      <c r="L147" s="1">
        <v>18.0</v>
      </c>
      <c r="M147" s="8">
        <v>0.015328019619865114</v>
      </c>
      <c r="N147" s="1">
        <v>437.0</v>
      </c>
      <c r="O147" s="8">
        <v>0.37213025410450307</v>
      </c>
      <c r="P147" s="1">
        <v>15.0</v>
      </c>
      <c r="Q147" s="1">
        <f t="shared" si="6"/>
        <v>50</v>
      </c>
      <c r="R147" s="1">
        <f>J147*Assumptions!$E$19</f>
        <v>15.08</v>
      </c>
      <c r="S147" s="3">
        <f>G147*Assumptions!$E$10*Assumptions!$E$6+J147*Assumptions!$E$7+M147*Assumptions!$E$13*Assumptions!$E$6+N147*Assumptions!$E$12*Assumptions!$E$6+Q147*Assumptions!$E$15*Assumptions!$E$6</f>
        <v>32428.6414</v>
      </c>
      <c r="T147" s="3">
        <f>R147*Assumptions!$E$20-H147*Assumptions!$E$21</f>
        <v>10080</v>
      </c>
      <c r="U147" s="3">
        <f t="shared" si="7"/>
        <v>42508.6414</v>
      </c>
      <c r="V147" s="4">
        <f>U147/H147/Assumptions!$E$21</f>
        <v>8.50172828</v>
      </c>
      <c r="W147" s="3">
        <f t="shared" si="8"/>
        <v>0.6032</v>
      </c>
    </row>
    <row r="148" ht="15.75" customHeight="1">
      <c r="A148" s="1" t="s">
        <v>217</v>
      </c>
      <c r="B148" s="1" t="s">
        <v>218</v>
      </c>
      <c r="C148" s="1" t="s">
        <v>218</v>
      </c>
      <c r="D148" s="1">
        <v>189.0</v>
      </c>
      <c r="E148" s="1" t="s">
        <v>219</v>
      </c>
      <c r="F148" s="5" t="s">
        <v>31</v>
      </c>
      <c r="G148" s="1">
        <v>157836.0</v>
      </c>
      <c r="H148" s="1">
        <v>42.0</v>
      </c>
      <c r="I148" s="8">
        <v>3758.0</v>
      </c>
      <c r="J148" s="1">
        <v>441.0</v>
      </c>
      <c r="K148" s="8">
        <v>10.5</v>
      </c>
      <c r="L148" s="1">
        <v>18.0</v>
      </c>
      <c r="M148" s="8">
        <v>0.004789781798829164</v>
      </c>
      <c r="N148" s="1">
        <v>938.0</v>
      </c>
      <c r="O148" s="8">
        <v>0.24960085151676423</v>
      </c>
      <c r="P148" s="1">
        <v>2.0</v>
      </c>
      <c r="Q148" s="1">
        <f t="shared" si="6"/>
        <v>84</v>
      </c>
      <c r="R148" s="1">
        <f>J148*Assumptions!$E$19</f>
        <v>114.66</v>
      </c>
      <c r="S148" s="3">
        <f>G148*Assumptions!$E$10*Assumptions!$E$6+J148*Assumptions!$E$7+M148*Assumptions!$E$13*Assumptions!$E$6+N148*Assumptions!$E$12*Assumptions!$E$6+Q148*Assumptions!$E$15*Assumptions!$E$6</f>
        <v>168050.9895</v>
      </c>
      <c r="T148" s="3">
        <f>R148*Assumptions!$E$20-H148*Assumptions!$E$21</f>
        <v>106260</v>
      </c>
      <c r="U148" s="3">
        <f t="shared" si="7"/>
        <v>274310.9895</v>
      </c>
      <c r="V148" s="4">
        <f>U148/H148/Assumptions!$E$21</f>
        <v>32.65607018</v>
      </c>
      <c r="W148" s="3">
        <f t="shared" si="8"/>
        <v>2.73</v>
      </c>
    </row>
    <row r="149" ht="15.75" customHeight="1">
      <c r="A149" s="1" t="s">
        <v>220</v>
      </c>
      <c r="B149" s="1" t="s">
        <v>74</v>
      </c>
      <c r="D149" s="1">
        <v>301.0</v>
      </c>
      <c r="E149" s="1" t="s">
        <v>221</v>
      </c>
      <c r="F149" s="5" t="s">
        <v>31</v>
      </c>
      <c r="G149" s="1">
        <v>222849.0</v>
      </c>
      <c r="H149" s="1">
        <v>755.0</v>
      </c>
      <c r="I149" s="8">
        <v>295.164238410596</v>
      </c>
      <c r="J149" s="1">
        <v>3.0</v>
      </c>
      <c r="K149" s="8">
        <v>0.003973509933774834</v>
      </c>
      <c r="L149" s="1">
        <v>95.0</v>
      </c>
      <c r="M149" s="8">
        <v>0.321854708793847</v>
      </c>
      <c r="N149" s="1">
        <v>5780.0</v>
      </c>
      <c r="O149" s="8">
        <v>19.58231807187827</v>
      </c>
      <c r="P149" s="1">
        <v>14.0</v>
      </c>
      <c r="Q149" s="1">
        <f t="shared" si="6"/>
        <v>1510</v>
      </c>
      <c r="R149" s="1">
        <f>J149*Assumptions!$E$19</f>
        <v>0.78</v>
      </c>
      <c r="S149" s="3">
        <f>G149*Assumptions!$E$10*Assumptions!$E$6+J149*Assumptions!$E$7+M149*Assumptions!$E$13*Assumptions!$E$6+N149*Assumptions!$E$12*Assumptions!$E$6+Q149*Assumptions!$E$15*Assumptions!$E$6</f>
        <v>234832.1552</v>
      </c>
      <c r="T149" s="3">
        <f>R149*Assumptions!$E$20-H149*Assumptions!$E$21</f>
        <v>-150220</v>
      </c>
      <c r="U149" s="3">
        <f t="shared" si="7"/>
        <v>84612.15524</v>
      </c>
      <c r="V149" s="4">
        <f>U149/H149/Assumptions!$E$21</f>
        <v>0.5603453989</v>
      </c>
      <c r="W149" s="3">
        <f t="shared" si="8"/>
        <v>0.001033112583</v>
      </c>
    </row>
    <row r="150" ht="15.75" customHeight="1">
      <c r="A150" s="1" t="s">
        <v>220</v>
      </c>
      <c r="B150" s="1" t="s">
        <v>74</v>
      </c>
      <c r="D150" s="1">
        <v>304.0</v>
      </c>
      <c r="E150" s="1" t="s">
        <v>222</v>
      </c>
      <c r="F150" s="5" t="s">
        <v>31</v>
      </c>
      <c r="G150" s="1">
        <v>22060.0</v>
      </c>
      <c r="H150" s="1">
        <v>143.0</v>
      </c>
      <c r="I150" s="8">
        <v>154.26573426573427</v>
      </c>
      <c r="J150" s="1">
        <v>0.0</v>
      </c>
      <c r="K150" s="8">
        <v>0.0</v>
      </c>
      <c r="L150" s="1">
        <v>73.0</v>
      </c>
      <c r="M150" s="8">
        <v>0.47320942883046235</v>
      </c>
      <c r="N150" s="1">
        <v>419.0</v>
      </c>
      <c r="O150" s="8">
        <v>2.7160924750679962</v>
      </c>
      <c r="P150" s="1">
        <v>2.0</v>
      </c>
      <c r="Q150" s="1">
        <f t="shared" si="6"/>
        <v>286</v>
      </c>
      <c r="R150" s="1">
        <f>J150*Assumptions!$E$19</f>
        <v>0</v>
      </c>
      <c r="S150" s="3">
        <f>G150*Assumptions!$E$10*Assumptions!$E$6+J150*Assumptions!$E$7+M150*Assumptions!$E$13*Assumptions!$E$6+N150*Assumptions!$E$12*Assumptions!$E$6+Q150*Assumptions!$E$15*Assumptions!$E$6</f>
        <v>26177.41047</v>
      </c>
      <c r="T150" s="3">
        <f>R150*Assumptions!$E$20-H150*Assumptions!$E$21</f>
        <v>-28600</v>
      </c>
      <c r="U150" s="3">
        <f t="shared" si="7"/>
        <v>-2422.589529</v>
      </c>
      <c r="V150" s="4">
        <f>U150/H150/Assumptions!$E$21</f>
        <v>-0.08470592757</v>
      </c>
      <c r="W150" s="3">
        <f t="shared" si="8"/>
        <v>0</v>
      </c>
    </row>
    <row r="151" ht="15.75" customHeight="1">
      <c r="A151" s="1" t="s">
        <v>220</v>
      </c>
      <c r="B151" s="1" t="s">
        <v>74</v>
      </c>
      <c r="D151" s="1">
        <v>303.0</v>
      </c>
      <c r="E151" s="1" t="s">
        <v>223</v>
      </c>
      <c r="F151" s="5" t="s">
        <v>31</v>
      </c>
      <c r="G151" s="1">
        <v>130301.0</v>
      </c>
      <c r="H151" s="1">
        <v>78.0</v>
      </c>
      <c r="I151" s="8">
        <v>1670.525641025641</v>
      </c>
      <c r="J151" s="1">
        <v>0.0</v>
      </c>
      <c r="K151" s="8">
        <v>0.0</v>
      </c>
      <c r="L151" s="1">
        <v>11.0</v>
      </c>
      <c r="M151" s="8">
        <v>0.006584753762442345</v>
      </c>
      <c r="N151" s="1">
        <v>594.0</v>
      </c>
      <c r="O151" s="8">
        <v>0.3555767031718866</v>
      </c>
      <c r="P151" s="1">
        <v>4.0</v>
      </c>
      <c r="Q151" s="1">
        <f t="shared" si="6"/>
        <v>156</v>
      </c>
      <c r="R151" s="1">
        <f>J151*Assumptions!$E$19</f>
        <v>0</v>
      </c>
      <c r="S151" s="3">
        <f>G151*Assumptions!$E$10*Assumptions!$E$6+J151*Assumptions!$E$7+M151*Assumptions!$E$13*Assumptions!$E$6+N151*Assumptions!$E$12*Assumptions!$E$6+Q151*Assumptions!$E$15*Assumptions!$E$6</f>
        <v>30794.14174</v>
      </c>
      <c r="T151" s="3">
        <f>R151*Assumptions!$E$20-H151*Assumptions!$E$21</f>
        <v>-15600</v>
      </c>
      <c r="U151" s="3">
        <f t="shared" si="7"/>
        <v>15194.14174</v>
      </c>
      <c r="V151" s="4">
        <f>U151/H151/Assumptions!$E$21</f>
        <v>0.9739834447</v>
      </c>
      <c r="W151" s="3">
        <f t="shared" si="8"/>
        <v>0</v>
      </c>
    </row>
    <row r="152" ht="15.75" customHeight="1">
      <c r="A152" s="1" t="s">
        <v>220</v>
      </c>
      <c r="B152" s="1" t="s">
        <v>74</v>
      </c>
      <c r="D152" s="1">
        <v>284.0</v>
      </c>
      <c r="E152" s="1" t="s">
        <v>224</v>
      </c>
      <c r="F152" s="5" t="s">
        <v>31</v>
      </c>
      <c r="G152" s="1">
        <v>53680.0</v>
      </c>
      <c r="H152" s="1">
        <v>42.0</v>
      </c>
      <c r="I152" s="8">
        <v>1278.095238095238</v>
      </c>
      <c r="J152" s="1">
        <v>229.0</v>
      </c>
      <c r="K152" s="8">
        <v>5.4523809523809526</v>
      </c>
      <c r="L152" s="1">
        <v>21.0</v>
      </c>
      <c r="M152" s="8">
        <v>0.01643070044709389</v>
      </c>
      <c r="N152" s="1">
        <v>612.0</v>
      </c>
      <c r="O152" s="8">
        <v>0.4788375558867362</v>
      </c>
      <c r="P152" s="1">
        <v>2.0</v>
      </c>
      <c r="Q152" s="1">
        <f t="shared" si="6"/>
        <v>84</v>
      </c>
      <c r="R152" s="1">
        <f>J152*Assumptions!$E$19</f>
        <v>59.54</v>
      </c>
      <c r="S152" s="3">
        <f>G152*Assumptions!$E$10*Assumptions!$E$6+J152*Assumptions!$E$7+M152*Assumptions!$E$13*Assumptions!$E$6+N152*Assumptions!$E$12*Assumptions!$E$6+Q152*Assumptions!$E$15*Assumptions!$E$6</f>
        <v>90639.82154</v>
      </c>
      <c r="T152" s="3">
        <f>R152*Assumptions!$E$20-H152*Assumptions!$E$21</f>
        <v>51140</v>
      </c>
      <c r="U152" s="3">
        <f t="shared" si="7"/>
        <v>141779.8215</v>
      </c>
      <c r="V152" s="4">
        <f>U152/H152/Assumptions!$E$21</f>
        <v>16.87855018</v>
      </c>
      <c r="W152" s="3">
        <f t="shared" si="8"/>
        <v>1.417619048</v>
      </c>
    </row>
    <row r="153" ht="15.75" customHeight="1">
      <c r="A153" s="1" t="s">
        <v>220</v>
      </c>
      <c r="B153" s="1" t="s">
        <v>74</v>
      </c>
      <c r="D153" s="1">
        <v>287.0</v>
      </c>
      <c r="E153" s="1" t="s">
        <v>225</v>
      </c>
      <c r="F153" s="5" t="s">
        <v>31</v>
      </c>
      <c r="G153" s="1">
        <v>902.0</v>
      </c>
      <c r="H153" s="1">
        <v>3.0</v>
      </c>
      <c r="I153" s="8">
        <v>300.6666666666667</v>
      </c>
      <c r="J153" s="1">
        <v>4.0</v>
      </c>
      <c r="K153" s="8">
        <v>1.3333333333333333</v>
      </c>
      <c r="L153" s="1">
        <v>0.0</v>
      </c>
      <c r="M153" s="8">
        <v>0.0</v>
      </c>
      <c r="N153" s="1">
        <v>6.0</v>
      </c>
      <c r="O153" s="8">
        <v>0.019955654101995565</v>
      </c>
      <c r="P153" s="1">
        <v>17.0</v>
      </c>
      <c r="Q153" s="1">
        <f t="shared" si="6"/>
        <v>6</v>
      </c>
      <c r="R153" s="1">
        <f>J153*Assumptions!$E$19</f>
        <v>1.04</v>
      </c>
      <c r="S153" s="3">
        <f>G153*Assumptions!$E$10*Assumptions!$E$6+J153*Assumptions!$E$7+M153*Assumptions!$E$13*Assumptions!$E$6+N153*Assumptions!$E$12*Assumptions!$E$6+Q153*Assumptions!$E$15*Assumptions!$E$6</f>
        <v>1690.375</v>
      </c>
      <c r="T153" s="3">
        <f>R153*Assumptions!$E$20-H153*Assumptions!$E$21</f>
        <v>440</v>
      </c>
      <c r="U153" s="3">
        <f t="shared" si="7"/>
        <v>2130.375</v>
      </c>
      <c r="V153" s="4">
        <f>U153/H153/Assumptions!$E$21</f>
        <v>3.550625</v>
      </c>
      <c r="W153" s="3">
        <f t="shared" si="8"/>
        <v>0.3466666667</v>
      </c>
    </row>
    <row r="154" ht="15.75" customHeight="1">
      <c r="A154" s="1" t="s">
        <v>220</v>
      </c>
      <c r="B154" s="1" t="s">
        <v>74</v>
      </c>
      <c r="D154" s="1">
        <v>279.0</v>
      </c>
      <c r="E154" s="1" t="s">
        <v>226</v>
      </c>
      <c r="F154" s="5" t="s">
        <v>31</v>
      </c>
      <c r="G154" s="1">
        <v>0.0</v>
      </c>
      <c r="H154" s="1">
        <v>2.0</v>
      </c>
      <c r="I154" s="8">
        <v>0.0</v>
      </c>
      <c r="J154" s="1">
        <v>0.0</v>
      </c>
      <c r="K154" s="8">
        <v>0.0</v>
      </c>
      <c r="L154" s="1">
        <v>0.0</v>
      </c>
      <c r="M154" s="8">
        <v>0.0</v>
      </c>
      <c r="N154" s="1">
        <v>0.0</v>
      </c>
      <c r="O154" s="8">
        <v>0.0</v>
      </c>
      <c r="P154" s="1">
        <v>3.0</v>
      </c>
      <c r="Q154" s="1">
        <f t="shared" si="6"/>
        <v>4</v>
      </c>
      <c r="R154" s="1">
        <f>J154*Assumptions!$E$19</f>
        <v>0</v>
      </c>
      <c r="S154" s="3">
        <f>G154*Assumptions!$E$10*Assumptions!$E$6+J154*Assumptions!$E$7+M154*Assumptions!$E$13*Assumptions!$E$6+N154*Assumptions!$E$12*Assumptions!$E$6+Q154*Assumptions!$E$15*Assumptions!$E$6</f>
        <v>200</v>
      </c>
      <c r="T154" s="3">
        <f>R154*Assumptions!$E$20-H154*Assumptions!$E$21</f>
        <v>-400</v>
      </c>
      <c r="U154" s="3">
        <f t="shared" si="7"/>
        <v>-200</v>
      </c>
      <c r="V154" s="4">
        <f>U154/H154/Assumptions!$E$21</f>
        <v>-0.5</v>
      </c>
      <c r="W154" s="3">
        <f t="shared" si="8"/>
        <v>0</v>
      </c>
    </row>
    <row r="155" ht="15.75" customHeight="1">
      <c r="A155" s="1" t="s">
        <v>227</v>
      </c>
      <c r="B155" s="1" t="s">
        <v>228</v>
      </c>
      <c r="D155" s="1">
        <v>77.0</v>
      </c>
      <c r="E155" s="1" t="s">
        <v>229</v>
      </c>
      <c r="F155" s="5" t="s">
        <v>31</v>
      </c>
      <c r="G155" s="1">
        <v>441111.0</v>
      </c>
      <c r="H155" s="1">
        <v>197.0</v>
      </c>
      <c r="I155" s="8">
        <v>2239.1421319796955</v>
      </c>
      <c r="J155" s="1">
        <v>0.0</v>
      </c>
      <c r="K155" s="8">
        <v>0.0</v>
      </c>
      <c r="L155" s="1">
        <v>34.0</v>
      </c>
      <c r="M155" s="8">
        <v>0.015184386696319066</v>
      </c>
      <c r="N155" s="1">
        <v>3614.0</v>
      </c>
      <c r="O155" s="8">
        <v>1.6140109858969738</v>
      </c>
      <c r="P155" s="1">
        <v>57.0</v>
      </c>
      <c r="Q155" s="1">
        <f t="shared" si="6"/>
        <v>394</v>
      </c>
      <c r="R155" s="1">
        <f>J155*Assumptions!$E$19</f>
        <v>0</v>
      </c>
      <c r="S155" s="3">
        <f>G155*Assumptions!$E$10*Assumptions!$E$6+J155*Assumptions!$E$7+M155*Assumptions!$E$13*Assumptions!$E$6+N155*Assumptions!$E$12*Assumptions!$E$6+Q155*Assumptions!$E$15*Assumptions!$E$6</f>
        <v>137620.1967</v>
      </c>
      <c r="T155" s="3">
        <f>R155*Assumptions!$E$20-H155*Assumptions!$E$21</f>
        <v>-39400</v>
      </c>
      <c r="U155" s="3">
        <f t="shared" si="7"/>
        <v>98220.19672</v>
      </c>
      <c r="V155" s="4">
        <f>U155/H155/Assumptions!$E$21</f>
        <v>2.492898394</v>
      </c>
      <c r="W155" s="3">
        <f t="shared" si="8"/>
        <v>0</v>
      </c>
    </row>
    <row r="156" ht="15.75" customHeight="1">
      <c r="A156" s="1" t="s">
        <v>230</v>
      </c>
      <c r="B156" s="1" t="s">
        <v>231</v>
      </c>
      <c r="D156" s="1">
        <v>366.0</v>
      </c>
      <c r="E156" s="1" t="s">
        <v>231</v>
      </c>
      <c r="F156" s="5" t="s">
        <v>39</v>
      </c>
      <c r="G156" s="1">
        <v>31244.0</v>
      </c>
      <c r="H156" s="1">
        <v>11.0</v>
      </c>
      <c r="I156" s="8">
        <v>2840.3636363636365</v>
      </c>
      <c r="J156" s="1">
        <v>20.0</v>
      </c>
      <c r="K156" s="8">
        <v>1.8181818181818181</v>
      </c>
      <c r="L156" s="1">
        <v>0.0</v>
      </c>
      <c r="M156" s="8">
        <v>0.0</v>
      </c>
      <c r="N156" s="1">
        <v>62.0</v>
      </c>
      <c r="O156" s="8">
        <v>0.02182819101267443</v>
      </c>
      <c r="P156" s="1">
        <v>1.0</v>
      </c>
      <c r="Q156" s="1">
        <f t="shared" si="6"/>
        <v>22</v>
      </c>
      <c r="R156" s="1">
        <f>J156*Assumptions!$E$19</f>
        <v>5.2</v>
      </c>
      <c r="S156" s="3">
        <f>G156*Assumptions!$E$10*Assumptions!$E$6+J156*Assumptions!$E$7+M156*Assumptions!$E$13*Assumptions!$E$6+N156*Assumptions!$E$12*Assumptions!$E$6+Q156*Assumptions!$E$15*Assumptions!$E$6</f>
        <v>10522.75</v>
      </c>
      <c r="T156" s="3">
        <f>R156*Assumptions!$E$20-H156*Assumptions!$E$21</f>
        <v>3000</v>
      </c>
      <c r="U156" s="3">
        <f t="shared" si="7"/>
        <v>13522.75</v>
      </c>
      <c r="V156" s="4">
        <f>U156/H156/Assumptions!$E$21</f>
        <v>6.146704545</v>
      </c>
      <c r="W156" s="3">
        <f t="shared" si="8"/>
        <v>0.4727272727</v>
      </c>
    </row>
    <row r="157" ht="15.75" customHeight="1">
      <c r="A157" s="1" t="s">
        <v>232</v>
      </c>
      <c r="B157" s="1" t="s">
        <v>79</v>
      </c>
      <c r="D157" s="1">
        <v>242.0</v>
      </c>
      <c r="E157" s="1" t="s">
        <v>233</v>
      </c>
      <c r="F157" s="5" t="s">
        <v>31</v>
      </c>
      <c r="G157" s="1">
        <v>322441.0</v>
      </c>
      <c r="H157" s="1">
        <v>456.0</v>
      </c>
      <c r="I157" s="8">
        <v>707.1074561403509</v>
      </c>
      <c r="J157" s="1">
        <v>434.0</v>
      </c>
      <c r="K157" s="8">
        <v>0.9517543859649122</v>
      </c>
      <c r="L157" s="1">
        <v>236.0</v>
      </c>
      <c r="M157" s="8">
        <v>0.33375408214215935</v>
      </c>
      <c r="N157" s="1">
        <v>8494.0</v>
      </c>
      <c r="O157" s="8">
        <v>12.012318532692802</v>
      </c>
      <c r="P157" s="1">
        <v>13.0</v>
      </c>
      <c r="Q157" s="1">
        <f t="shared" si="6"/>
        <v>912</v>
      </c>
      <c r="R157" s="1">
        <f>J157*Assumptions!$E$19</f>
        <v>112.84</v>
      </c>
      <c r="S157" s="3">
        <f>G157*Assumptions!$E$10*Assumptions!$E$6+J157*Assumptions!$E$7+M157*Assumptions!$E$13*Assumptions!$E$6+N157*Assumptions!$E$12*Assumptions!$E$6+Q157*Assumptions!$E$15*Assumptions!$E$6</f>
        <v>406583.2502</v>
      </c>
      <c r="T157" s="3">
        <f>R157*Assumptions!$E$20-H157*Assumptions!$E$21</f>
        <v>21640</v>
      </c>
      <c r="U157" s="3">
        <f t="shared" si="7"/>
        <v>428223.2502</v>
      </c>
      <c r="V157" s="4">
        <f>U157/H157/Assumptions!$E$21</f>
        <v>4.695430375</v>
      </c>
      <c r="W157" s="3">
        <f t="shared" si="8"/>
        <v>0.2474561404</v>
      </c>
    </row>
    <row r="158" ht="15.75" customHeight="1">
      <c r="A158" s="1" t="s">
        <v>232</v>
      </c>
      <c r="B158" s="1" t="s">
        <v>79</v>
      </c>
      <c r="D158" s="1">
        <v>85.0</v>
      </c>
      <c r="E158" s="1" t="s">
        <v>234</v>
      </c>
      <c r="F158" s="5" t="s">
        <v>31</v>
      </c>
      <c r="G158" s="1">
        <v>45321.0</v>
      </c>
      <c r="H158" s="1">
        <v>59.0</v>
      </c>
      <c r="I158" s="8">
        <v>768.1525423728814</v>
      </c>
      <c r="J158" s="1">
        <v>6.0</v>
      </c>
      <c r="K158" s="8">
        <v>0.1016949152542373</v>
      </c>
      <c r="L158" s="1">
        <v>7.0</v>
      </c>
      <c r="M158" s="8">
        <v>0.009112773328037775</v>
      </c>
      <c r="N158" s="1">
        <v>687.0</v>
      </c>
      <c r="O158" s="8">
        <v>0.8943536109088501</v>
      </c>
      <c r="P158" s="1">
        <v>27.0</v>
      </c>
      <c r="Q158" s="1">
        <f t="shared" si="6"/>
        <v>118</v>
      </c>
      <c r="R158" s="1">
        <f>J158*Assumptions!$E$19</f>
        <v>1.56</v>
      </c>
      <c r="S158" s="3">
        <f>G158*Assumptions!$E$10*Assumptions!$E$6+J158*Assumptions!$E$7+M158*Assumptions!$E$13*Assumptions!$E$6+N158*Assumptions!$E$12*Assumptions!$E$6+Q158*Assumptions!$E$15*Assumptions!$E$6</f>
        <v>27684.01814</v>
      </c>
      <c r="T158" s="3">
        <f>R158*Assumptions!$E$20-H158*Assumptions!$E$21</f>
        <v>-10240</v>
      </c>
      <c r="U158" s="3">
        <f t="shared" si="7"/>
        <v>17444.01814</v>
      </c>
      <c r="V158" s="4">
        <f>U158/H158/Assumptions!$E$21</f>
        <v>1.478306622</v>
      </c>
      <c r="W158" s="3">
        <f t="shared" si="8"/>
        <v>0.02644067797</v>
      </c>
    </row>
    <row r="159" ht="15.75" customHeight="1">
      <c r="A159" s="1" t="s">
        <v>232</v>
      </c>
      <c r="B159" s="1" t="s">
        <v>79</v>
      </c>
      <c r="D159" s="1">
        <v>87.0</v>
      </c>
      <c r="E159" s="1" t="s">
        <v>235</v>
      </c>
      <c r="F159" s="5" t="s">
        <v>31</v>
      </c>
      <c r="G159" s="1">
        <v>1721.0</v>
      </c>
      <c r="H159" s="1">
        <v>6.0</v>
      </c>
      <c r="I159" s="8">
        <v>286.8333333333333</v>
      </c>
      <c r="J159" s="1">
        <v>1.0</v>
      </c>
      <c r="K159" s="8">
        <v>0.16666666666666666</v>
      </c>
      <c r="L159" s="1">
        <v>0.0</v>
      </c>
      <c r="M159" s="8">
        <v>0.0</v>
      </c>
      <c r="N159" s="1">
        <v>5.0</v>
      </c>
      <c r="O159" s="8">
        <v>0.017431725740848347</v>
      </c>
      <c r="P159" s="1">
        <v>24.0</v>
      </c>
      <c r="Q159" s="1">
        <f t="shared" si="6"/>
        <v>12</v>
      </c>
      <c r="R159" s="1">
        <f>J159*Assumptions!$E$19</f>
        <v>0.26</v>
      </c>
      <c r="S159" s="3">
        <f>G159*Assumptions!$E$10*Assumptions!$E$6+J159*Assumptions!$E$7+M159*Assumptions!$E$13*Assumptions!$E$6+N159*Assumptions!$E$12*Assumptions!$E$6+Q159*Assumptions!$E$15*Assumptions!$E$6</f>
        <v>1128.5625</v>
      </c>
      <c r="T159" s="3">
        <f>R159*Assumptions!$E$20-H159*Assumptions!$E$21</f>
        <v>-940</v>
      </c>
      <c r="U159" s="3">
        <f t="shared" si="7"/>
        <v>188.5625</v>
      </c>
      <c r="V159" s="4">
        <f>U159/H159/Assumptions!$E$21</f>
        <v>0.1571354167</v>
      </c>
      <c r="W159" s="3">
        <f t="shared" si="8"/>
        <v>0.04333333333</v>
      </c>
    </row>
    <row r="160" ht="15.75" customHeight="1">
      <c r="A160" s="1" t="s">
        <v>232</v>
      </c>
      <c r="B160" s="1" t="s">
        <v>79</v>
      </c>
      <c r="D160" s="1">
        <v>46.0</v>
      </c>
      <c r="E160" s="1" t="s">
        <v>236</v>
      </c>
      <c r="F160" s="5" t="s">
        <v>31</v>
      </c>
      <c r="G160" s="1">
        <v>2130.0</v>
      </c>
      <c r="H160" s="1">
        <v>2.0</v>
      </c>
      <c r="I160" s="8">
        <v>1065.0</v>
      </c>
      <c r="J160" s="1">
        <v>31.0</v>
      </c>
      <c r="K160" s="8">
        <v>15.5</v>
      </c>
      <c r="L160" s="1">
        <v>0.0</v>
      </c>
      <c r="M160" s="8">
        <v>0.0</v>
      </c>
      <c r="N160" s="1">
        <v>22.0</v>
      </c>
      <c r="O160" s="8">
        <v>0.020657276995305163</v>
      </c>
      <c r="P160" s="1">
        <v>1.0</v>
      </c>
      <c r="Q160" s="1">
        <f t="shared" si="6"/>
        <v>4</v>
      </c>
      <c r="R160" s="1">
        <f>J160*Assumptions!$E$19</f>
        <v>8.06</v>
      </c>
      <c r="S160" s="3">
        <f>G160*Assumptions!$E$10*Assumptions!$E$6+J160*Assumptions!$E$7+M160*Assumptions!$E$13*Assumptions!$E$6+N160*Assumptions!$E$12*Assumptions!$E$6+Q160*Assumptions!$E$15*Assumptions!$E$6</f>
        <v>10059.125</v>
      </c>
      <c r="T160" s="3">
        <f>R160*Assumptions!$E$20-H160*Assumptions!$E$21</f>
        <v>7660</v>
      </c>
      <c r="U160" s="3">
        <f t="shared" si="7"/>
        <v>17719.125</v>
      </c>
      <c r="V160" s="4">
        <f>U160/H160/Assumptions!$E$21</f>
        <v>44.2978125</v>
      </c>
      <c r="W160" s="3">
        <f t="shared" si="8"/>
        <v>4.03</v>
      </c>
    </row>
    <row r="161" ht="15.75" customHeight="1">
      <c r="A161" s="1" t="s">
        <v>237</v>
      </c>
      <c r="B161" s="1" t="s">
        <v>97</v>
      </c>
      <c r="D161" s="1">
        <v>332.0</v>
      </c>
      <c r="E161" s="1" t="s">
        <v>238</v>
      </c>
      <c r="F161" s="5" t="s">
        <v>31</v>
      </c>
      <c r="G161" s="1">
        <v>23397.0</v>
      </c>
      <c r="H161" s="1">
        <v>20.0</v>
      </c>
      <c r="I161" s="8">
        <v>1169.85</v>
      </c>
      <c r="J161" s="1">
        <v>0.0</v>
      </c>
      <c r="K161" s="8">
        <v>0.0</v>
      </c>
      <c r="L161" s="1">
        <v>0.0</v>
      </c>
      <c r="M161" s="8">
        <v>0.0</v>
      </c>
      <c r="N161" s="1">
        <v>136.0</v>
      </c>
      <c r="O161" s="8">
        <v>0.11625422062657606</v>
      </c>
      <c r="P161" s="1">
        <v>1.0</v>
      </c>
      <c r="Q161" s="1">
        <f t="shared" si="6"/>
        <v>40</v>
      </c>
      <c r="R161" s="1">
        <f>J161*Assumptions!$E$19</f>
        <v>0</v>
      </c>
      <c r="S161" s="3">
        <f>G161*Assumptions!$E$10*Assumptions!$E$6+J161*Assumptions!$E$7+M161*Assumptions!$E$13*Assumptions!$E$6+N161*Assumptions!$E$12*Assumptions!$E$6+Q161*Assumptions!$E$15*Assumptions!$E$6</f>
        <v>6862.3125</v>
      </c>
      <c r="T161" s="3">
        <f>R161*Assumptions!$E$20-H161*Assumptions!$E$21</f>
        <v>-4000</v>
      </c>
      <c r="U161" s="3">
        <f t="shared" si="7"/>
        <v>2862.3125</v>
      </c>
      <c r="V161" s="4">
        <f>U161/H161/Assumptions!$E$21</f>
        <v>0.715578125</v>
      </c>
      <c r="W161" s="3">
        <f t="shared" si="8"/>
        <v>0</v>
      </c>
    </row>
    <row r="162" ht="15.75" customHeight="1">
      <c r="A162" s="1" t="s">
        <v>237</v>
      </c>
      <c r="B162" s="1" t="s">
        <v>97</v>
      </c>
      <c r="D162" s="1">
        <v>321.0</v>
      </c>
      <c r="E162" s="1" t="s">
        <v>239</v>
      </c>
      <c r="F162" s="5" t="s">
        <v>31</v>
      </c>
      <c r="G162" s="1">
        <v>12834.0</v>
      </c>
      <c r="H162" s="1">
        <v>11.0</v>
      </c>
      <c r="I162" s="8">
        <v>1166.7272727272727</v>
      </c>
      <c r="J162" s="1">
        <v>0.0</v>
      </c>
      <c r="K162" s="8">
        <v>0.0</v>
      </c>
      <c r="L162" s="1">
        <v>3.0</v>
      </c>
      <c r="M162" s="8">
        <v>0.002571294997662459</v>
      </c>
      <c r="N162" s="1">
        <v>136.0</v>
      </c>
      <c r="O162" s="8">
        <v>0.11656537322736481</v>
      </c>
      <c r="P162" s="1">
        <v>1.0</v>
      </c>
      <c r="Q162" s="1">
        <f t="shared" si="6"/>
        <v>22</v>
      </c>
      <c r="R162" s="1">
        <f>J162*Assumptions!$E$19</f>
        <v>0</v>
      </c>
      <c r="S162" s="3">
        <f>G162*Assumptions!$E$10*Assumptions!$E$6+J162*Assumptions!$E$7+M162*Assumptions!$E$13*Assumptions!$E$6+N162*Assumptions!$E$12*Assumptions!$E$6+Q162*Assumptions!$E$15*Assumptions!$E$6</f>
        <v>5302.253565</v>
      </c>
      <c r="T162" s="3">
        <f>R162*Assumptions!$E$20-H162*Assumptions!$E$21</f>
        <v>-2200</v>
      </c>
      <c r="U162" s="3">
        <f t="shared" si="7"/>
        <v>3102.253565</v>
      </c>
      <c r="V162" s="4">
        <f>U162/H162/Assumptions!$E$21</f>
        <v>1.410115257</v>
      </c>
      <c r="W162" s="3">
        <f t="shared" si="8"/>
        <v>0</v>
      </c>
    </row>
    <row r="163" ht="15.75" customHeight="1">
      <c r="A163" s="1" t="s">
        <v>237</v>
      </c>
      <c r="B163" s="1" t="s">
        <v>97</v>
      </c>
      <c r="D163" s="1">
        <v>320.0</v>
      </c>
      <c r="E163" s="1" t="s">
        <v>240</v>
      </c>
      <c r="F163" s="5" t="s">
        <v>31</v>
      </c>
      <c r="G163" s="1">
        <v>2199.0</v>
      </c>
      <c r="H163" s="1">
        <v>8.0</v>
      </c>
      <c r="I163" s="8">
        <v>274.875</v>
      </c>
      <c r="J163" s="1">
        <v>0.0</v>
      </c>
      <c r="K163" s="8">
        <v>0.0</v>
      </c>
      <c r="L163" s="1">
        <v>5.0</v>
      </c>
      <c r="M163" s="8">
        <v>0.018190086402910415</v>
      </c>
      <c r="N163" s="1">
        <v>19.0</v>
      </c>
      <c r="O163" s="8">
        <v>0.06912232833105958</v>
      </c>
      <c r="P163" s="1">
        <v>1.0</v>
      </c>
      <c r="Q163" s="1">
        <f t="shared" si="6"/>
        <v>16</v>
      </c>
      <c r="R163" s="1">
        <f>J163*Assumptions!$E$19</f>
        <v>0</v>
      </c>
      <c r="S163" s="3">
        <f>G163*Assumptions!$E$10*Assumptions!$E$6+J163*Assumptions!$E$7+M163*Assumptions!$E$13*Assumptions!$E$6+N163*Assumptions!$E$12*Assumptions!$E$6+Q163*Assumptions!$E$15*Assumptions!$E$6</f>
        <v>1413.347004</v>
      </c>
      <c r="T163" s="3">
        <f>R163*Assumptions!$E$20-H163*Assumptions!$E$21</f>
        <v>-1600</v>
      </c>
      <c r="U163" s="3">
        <f t="shared" si="7"/>
        <v>-186.6529957</v>
      </c>
      <c r="V163" s="4">
        <f>U163/H163/Assumptions!$E$21</f>
        <v>-0.1166581223</v>
      </c>
      <c r="W163" s="3">
        <f t="shared" si="8"/>
        <v>0</v>
      </c>
    </row>
    <row r="164" ht="15.75" customHeight="1">
      <c r="A164" s="1" t="s">
        <v>237</v>
      </c>
      <c r="B164" s="1" t="s">
        <v>97</v>
      </c>
      <c r="D164" s="1">
        <v>340.0</v>
      </c>
      <c r="E164" s="1" t="s">
        <v>241</v>
      </c>
      <c r="F164" s="5" t="s">
        <v>31</v>
      </c>
      <c r="G164" s="1">
        <v>10033.0</v>
      </c>
      <c r="H164" s="1">
        <v>8.0</v>
      </c>
      <c r="I164" s="8">
        <v>1254.125</v>
      </c>
      <c r="J164" s="1">
        <v>0.0</v>
      </c>
      <c r="K164" s="8">
        <v>0.0</v>
      </c>
      <c r="L164" s="1">
        <v>2.0</v>
      </c>
      <c r="M164" s="8">
        <v>0.0015947373666899232</v>
      </c>
      <c r="N164" s="1">
        <v>84.0</v>
      </c>
      <c r="O164" s="8">
        <v>0.06697896940097678</v>
      </c>
      <c r="P164" s="1">
        <v>1.0</v>
      </c>
      <c r="Q164" s="1">
        <f t="shared" si="6"/>
        <v>16</v>
      </c>
      <c r="R164" s="1">
        <f>J164*Assumptions!$E$19</f>
        <v>0</v>
      </c>
      <c r="S164" s="3">
        <f>G164*Assumptions!$E$10*Assumptions!$E$6+J164*Assumptions!$E$7+M164*Assumptions!$E$13*Assumptions!$E$6+N164*Assumptions!$E$12*Assumptions!$E$6+Q164*Assumptions!$E$15*Assumptions!$E$6</f>
        <v>3527.142237</v>
      </c>
      <c r="T164" s="3">
        <f>R164*Assumptions!$E$20-H164*Assumptions!$E$21</f>
        <v>-1600</v>
      </c>
      <c r="U164" s="3">
        <f t="shared" si="7"/>
        <v>1927.142237</v>
      </c>
      <c r="V164" s="4">
        <f>U164/H164/Assumptions!$E$21</f>
        <v>1.204463898</v>
      </c>
      <c r="W164" s="3">
        <f t="shared" si="8"/>
        <v>0</v>
      </c>
    </row>
    <row r="165" ht="15.75" customHeight="1">
      <c r="A165" s="1" t="s">
        <v>237</v>
      </c>
      <c r="B165" s="1" t="s">
        <v>97</v>
      </c>
      <c r="D165" s="1">
        <v>314.0</v>
      </c>
      <c r="E165" s="1" t="s">
        <v>242</v>
      </c>
      <c r="F165" s="5" t="s">
        <v>31</v>
      </c>
      <c r="G165" s="1">
        <v>2949.0</v>
      </c>
      <c r="H165" s="1">
        <v>5.0</v>
      </c>
      <c r="I165" s="8">
        <v>589.8</v>
      </c>
      <c r="J165" s="1">
        <v>0.0</v>
      </c>
      <c r="K165" s="8">
        <v>0.0</v>
      </c>
      <c r="L165" s="1">
        <v>0.0</v>
      </c>
      <c r="M165" s="8">
        <v>0.0</v>
      </c>
      <c r="N165" s="1">
        <v>5.0</v>
      </c>
      <c r="O165" s="8">
        <v>0.0084774499830451</v>
      </c>
      <c r="P165" s="1">
        <v>1.0</v>
      </c>
      <c r="Q165" s="1">
        <f t="shared" si="6"/>
        <v>10</v>
      </c>
      <c r="R165" s="1">
        <f>J165*Assumptions!$E$19</f>
        <v>0</v>
      </c>
      <c r="S165" s="3">
        <f>G165*Assumptions!$E$10*Assumptions!$E$6+J165*Assumptions!$E$7+M165*Assumptions!$E$13*Assumptions!$E$6+N165*Assumptions!$E$12*Assumptions!$E$6+Q165*Assumptions!$E$15*Assumptions!$E$6</f>
        <v>809.3125</v>
      </c>
      <c r="T165" s="3">
        <f>R165*Assumptions!$E$20-H165*Assumptions!$E$21</f>
        <v>-1000</v>
      </c>
      <c r="U165" s="3">
        <f t="shared" si="7"/>
        <v>-190.6875</v>
      </c>
      <c r="V165" s="4">
        <f>U165/H165/Assumptions!$E$21</f>
        <v>-0.1906875</v>
      </c>
      <c r="W165" s="3">
        <f t="shared" si="8"/>
        <v>0</v>
      </c>
    </row>
    <row r="166" ht="15.75" customHeight="1">
      <c r="A166" s="1" t="s">
        <v>243</v>
      </c>
      <c r="B166" s="1" t="s">
        <v>244</v>
      </c>
      <c r="D166" s="1">
        <v>74.0</v>
      </c>
      <c r="E166" s="1" t="s">
        <v>245</v>
      </c>
      <c r="F166" s="5" t="s">
        <v>31</v>
      </c>
      <c r="G166" s="1">
        <v>35676.0</v>
      </c>
      <c r="H166" s="1">
        <v>21.0</v>
      </c>
      <c r="I166" s="8">
        <v>1698.857142857143</v>
      </c>
      <c r="J166" s="1">
        <v>0.0</v>
      </c>
      <c r="K166" s="8">
        <v>0.0</v>
      </c>
      <c r="L166" s="1">
        <v>41.0</v>
      </c>
      <c r="M166" s="8">
        <v>0.024133871510258996</v>
      </c>
      <c r="N166" s="1">
        <v>518.0</v>
      </c>
      <c r="O166" s="8">
        <v>0.30491086444668686</v>
      </c>
      <c r="P166" s="1">
        <v>4.0</v>
      </c>
      <c r="Q166" s="1">
        <f t="shared" si="6"/>
        <v>42</v>
      </c>
      <c r="R166" s="1">
        <f>J166*Assumptions!$E$19</f>
        <v>0</v>
      </c>
      <c r="S166" s="3">
        <f>G166*Assumptions!$E$10*Assumptions!$E$6+J166*Assumptions!$E$7+M166*Assumptions!$E$13*Assumptions!$E$6+N166*Assumptions!$E$12*Assumptions!$E$6+Q166*Assumptions!$E$15*Assumptions!$E$6</f>
        <v>17280.95669</v>
      </c>
      <c r="T166" s="3">
        <f>R166*Assumptions!$E$20-H166*Assumptions!$E$21</f>
        <v>-4200</v>
      </c>
      <c r="U166" s="3">
        <f t="shared" si="7"/>
        <v>13080.95669</v>
      </c>
      <c r="V166" s="4">
        <f>U166/H166/Assumptions!$E$21</f>
        <v>3.114513498</v>
      </c>
      <c r="W166" s="3">
        <f t="shared" si="8"/>
        <v>0</v>
      </c>
    </row>
    <row r="167" ht="15.75" customHeight="1">
      <c r="A167" s="1" t="s">
        <v>246</v>
      </c>
      <c r="B167" s="1" t="s">
        <v>247</v>
      </c>
      <c r="D167" s="1">
        <v>315.0</v>
      </c>
      <c r="E167" s="1" t="s">
        <v>248</v>
      </c>
      <c r="F167" s="5" t="s">
        <v>39</v>
      </c>
      <c r="G167" s="1">
        <v>16398.0</v>
      </c>
      <c r="H167" s="1">
        <v>10.0</v>
      </c>
      <c r="I167" s="8">
        <v>1639.8</v>
      </c>
      <c r="J167" s="1">
        <v>0.0</v>
      </c>
      <c r="K167" s="8">
        <v>0.0</v>
      </c>
      <c r="L167" s="1">
        <v>1.0</v>
      </c>
      <c r="M167" s="8">
        <v>6.098304671301379E-4</v>
      </c>
      <c r="N167" s="1">
        <v>237.0</v>
      </c>
      <c r="O167" s="8">
        <v>0.14452982070984266</v>
      </c>
      <c r="P167" s="1">
        <v>1.0</v>
      </c>
      <c r="Q167" s="1">
        <f t="shared" si="6"/>
        <v>20</v>
      </c>
      <c r="R167" s="1">
        <f>J167*Assumptions!$E$19</f>
        <v>0</v>
      </c>
      <c r="S167" s="3">
        <f>G167*Assumptions!$E$10*Assumptions!$E$6+J167*Assumptions!$E$7+M167*Assumptions!$E$13*Assumptions!$E$6+N167*Assumptions!$E$12*Assumptions!$E$6+Q167*Assumptions!$E$15*Assumptions!$E$6</f>
        <v>7949.905492</v>
      </c>
      <c r="T167" s="3">
        <f>R167*Assumptions!$E$20-H167*Assumptions!$E$21</f>
        <v>-2000</v>
      </c>
      <c r="U167" s="3">
        <f t="shared" si="7"/>
        <v>5949.905492</v>
      </c>
      <c r="V167" s="4">
        <f>U167/H167/Assumptions!$E$21</f>
        <v>2.974952746</v>
      </c>
      <c r="W167" s="3">
        <f t="shared" si="8"/>
        <v>0</v>
      </c>
    </row>
    <row r="168" ht="15.75" customHeight="1">
      <c r="A168" s="1" t="s">
        <v>246</v>
      </c>
      <c r="B168" s="1" t="s">
        <v>247</v>
      </c>
      <c r="D168" s="1">
        <v>361.0</v>
      </c>
      <c r="E168" s="1" t="s">
        <v>249</v>
      </c>
      <c r="F168" s="5" t="s">
        <v>31</v>
      </c>
      <c r="G168" s="1">
        <v>15763.0</v>
      </c>
      <c r="H168" s="1">
        <v>7.0</v>
      </c>
      <c r="I168" s="8">
        <v>2251.8571428571427</v>
      </c>
      <c r="J168" s="1">
        <v>0.0</v>
      </c>
      <c r="K168" s="8">
        <v>0.0</v>
      </c>
      <c r="L168" s="1">
        <v>1.0</v>
      </c>
      <c r="M168" s="8">
        <v>4.4407790395229336E-4</v>
      </c>
      <c r="N168" s="1">
        <v>16.0</v>
      </c>
      <c r="O168" s="8">
        <v>0.007105246463236694</v>
      </c>
      <c r="P168" s="1">
        <v>2.0</v>
      </c>
      <c r="Q168" s="1">
        <f t="shared" si="6"/>
        <v>14</v>
      </c>
      <c r="R168" s="1">
        <f>J168*Assumptions!$E$19</f>
        <v>0</v>
      </c>
      <c r="S168" s="3">
        <f>G168*Assumptions!$E$10*Assumptions!$E$6+J168*Assumptions!$E$7+M168*Assumptions!$E$13*Assumptions!$E$6+N168*Assumptions!$E$12*Assumptions!$E$6+Q168*Assumptions!$E$15*Assumptions!$E$6</f>
        <v>2085.209704</v>
      </c>
      <c r="T168" s="3">
        <f>R168*Assumptions!$E$20-H168*Assumptions!$E$21</f>
        <v>-1400</v>
      </c>
      <c r="U168" s="3">
        <f t="shared" si="7"/>
        <v>685.2097039</v>
      </c>
      <c r="V168" s="4">
        <f>U168/H168/Assumptions!$E$21</f>
        <v>0.4894355028</v>
      </c>
      <c r="W168" s="3">
        <f t="shared" si="8"/>
        <v>0</v>
      </c>
    </row>
    <row r="169" ht="15.75" customHeight="1">
      <c r="A169" s="1" t="s">
        <v>246</v>
      </c>
      <c r="B169" s="1" t="s">
        <v>247</v>
      </c>
      <c r="D169" s="1">
        <v>330.0</v>
      </c>
      <c r="E169" s="1" t="s">
        <v>250</v>
      </c>
      <c r="F169" s="5" t="s">
        <v>31</v>
      </c>
      <c r="G169" s="1">
        <v>966.0</v>
      </c>
      <c r="H169" s="1">
        <v>2.0</v>
      </c>
      <c r="I169" s="8">
        <v>483.0</v>
      </c>
      <c r="J169" s="1">
        <v>0.0</v>
      </c>
      <c r="K169" s="8">
        <v>0.0</v>
      </c>
      <c r="L169" s="1">
        <v>0.0</v>
      </c>
      <c r="M169" s="8">
        <v>0.0</v>
      </c>
      <c r="N169" s="1">
        <v>0.0</v>
      </c>
      <c r="O169" s="8">
        <v>0.0</v>
      </c>
      <c r="P169" s="1">
        <v>1.0</v>
      </c>
      <c r="Q169" s="1">
        <f t="shared" si="6"/>
        <v>4</v>
      </c>
      <c r="R169" s="1">
        <f>J169*Assumptions!$E$19</f>
        <v>0</v>
      </c>
      <c r="S169" s="3">
        <f>G169*Assumptions!$E$10*Assumptions!$E$6+J169*Assumptions!$E$7+M169*Assumptions!$E$13*Assumptions!$E$6+N169*Assumptions!$E$12*Assumptions!$E$6+Q169*Assumptions!$E$15*Assumptions!$E$6</f>
        <v>260.375</v>
      </c>
      <c r="T169" s="3">
        <f>R169*Assumptions!$E$20-H169*Assumptions!$E$21</f>
        <v>-400</v>
      </c>
      <c r="U169" s="3">
        <f t="shared" si="7"/>
        <v>-139.625</v>
      </c>
      <c r="V169" s="4">
        <f>U169/H169/Assumptions!$E$21</f>
        <v>-0.3490625</v>
      </c>
      <c r="W169" s="3">
        <f t="shared" si="8"/>
        <v>0</v>
      </c>
    </row>
    <row r="170" ht="15.75" customHeight="1">
      <c r="H170" s="1">
        <f t="shared" ref="H170:X170" si="9">SUM(H7:H169)</f>
        <v>19683</v>
      </c>
      <c r="I170" s="2">
        <f t="shared" si="9"/>
        <v>287722.5227</v>
      </c>
      <c r="J170" s="1">
        <f t="shared" si="9"/>
        <v>40700</v>
      </c>
      <c r="K170" s="2">
        <f t="shared" si="9"/>
        <v>389.137417</v>
      </c>
      <c r="L170" s="1">
        <f t="shared" si="9"/>
        <v>11749</v>
      </c>
      <c r="M170" s="2">
        <f t="shared" si="9"/>
        <v>16.31600308</v>
      </c>
      <c r="N170" s="1">
        <f t="shared" si="9"/>
        <v>183547</v>
      </c>
      <c r="O170" s="2">
        <f t="shared" si="9"/>
        <v>323.5339875</v>
      </c>
      <c r="P170" s="1">
        <f t="shared" si="9"/>
        <v>899</v>
      </c>
      <c r="Q170" s="1">
        <f t="shared" si="9"/>
        <v>39366</v>
      </c>
      <c r="R170" s="1">
        <f t="shared" si="9"/>
        <v>10582</v>
      </c>
      <c r="S170" s="3">
        <f t="shared" si="9"/>
        <v>19898306.61</v>
      </c>
      <c r="T170" s="3">
        <f t="shared" si="9"/>
        <v>6645400</v>
      </c>
      <c r="U170" s="3">
        <f t="shared" si="9"/>
        <v>26543706.61</v>
      </c>
      <c r="V170" s="4">
        <f t="shared" si="9"/>
        <v>1332.935297</v>
      </c>
      <c r="W170" s="3">
        <f t="shared" si="9"/>
        <v>101.1757284</v>
      </c>
      <c r="X170" s="1">
        <f t="shared" si="9"/>
        <v>0</v>
      </c>
    </row>
    <row r="171" ht="15.75" customHeight="1">
      <c r="S171" s="3"/>
      <c r="T171" s="3"/>
      <c r="U171" s="3"/>
      <c r="V171" s="4"/>
    </row>
    <row r="172" ht="15.75" customHeight="1">
      <c r="S172" s="3"/>
      <c r="T172" s="3"/>
      <c r="U172" s="3"/>
      <c r="V172" s="4"/>
    </row>
    <row r="173" ht="15.75" customHeight="1">
      <c r="S173" s="3"/>
      <c r="T173" s="3"/>
      <c r="U173" s="3"/>
      <c r="V173" s="4"/>
    </row>
    <row r="174" ht="15.75" customHeight="1">
      <c r="S174" s="3"/>
      <c r="T174" s="3"/>
      <c r="U174" s="3"/>
      <c r="V174" s="4"/>
    </row>
    <row r="175" ht="15.75" customHeight="1">
      <c r="S175" s="3"/>
      <c r="T175" s="3"/>
      <c r="U175" s="3"/>
      <c r="V175" s="4"/>
    </row>
    <row r="176" ht="15.75" customHeight="1">
      <c r="S176" s="3"/>
      <c r="T176" s="3"/>
      <c r="U176" s="3"/>
      <c r="V176" s="4"/>
    </row>
    <row r="177" ht="15.75" customHeight="1">
      <c r="S177" s="3"/>
      <c r="T177" s="3"/>
      <c r="U177" s="3"/>
      <c r="V177" s="4"/>
    </row>
    <row r="178" ht="15.75" customHeight="1">
      <c r="S178" s="3"/>
      <c r="T178" s="3"/>
      <c r="U178" s="3"/>
      <c r="V178" s="4"/>
    </row>
    <row r="179" ht="15.75" customHeight="1">
      <c r="S179" s="3"/>
      <c r="T179" s="3"/>
      <c r="U179" s="3"/>
      <c r="V179" s="4"/>
    </row>
    <row r="180" ht="15.75" customHeight="1">
      <c r="S180" s="3"/>
      <c r="T180" s="3"/>
      <c r="U180" s="3"/>
      <c r="V180" s="4"/>
    </row>
    <row r="181" ht="15.75" customHeight="1">
      <c r="S181" s="3"/>
      <c r="T181" s="3"/>
      <c r="U181" s="3"/>
      <c r="V181" s="4"/>
    </row>
    <row r="182" ht="15.75" customHeight="1">
      <c r="S182" s="3"/>
      <c r="T182" s="3"/>
      <c r="U182" s="3"/>
      <c r="V182" s="4"/>
    </row>
    <row r="183" ht="15.75" customHeight="1">
      <c r="S183" s="3"/>
      <c r="T183" s="3"/>
      <c r="U183" s="3"/>
      <c r="V183" s="4"/>
    </row>
    <row r="184" ht="15.75" customHeight="1">
      <c r="S184" s="3"/>
      <c r="T184" s="3"/>
      <c r="U184" s="3"/>
      <c r="V184" s="4"/>
    </row>
    <row r="185" ht="15.75" customHeight="1">
      <c r="S185" s="3"/>
      <c r="T185" s="3"/>
      <c r="U185" s="3"/>
      <c r="V185" s="4"/>
    </row>
    <row r="186" ht="15.75" customHeight="1">
      <c r="S186" s="3"/>
      <c r="T186" s="3"/>
      <c r="U186" s="3"/>
      <c r="V186" s="4"/>
    </row>
    <row r="187" ht="15.75" customHeight="1">
      <c r="S187" s="3"/>
      <c r="T187" s="3"/>
      <c r="U187" s="3"/>
      <c r="V187" s="4"/>
    </row>
    <row r="188" ht="15.75" customHeight="1">
      <c r="S188" s="3"/>
      <c r="T188" s="3"/>
      <c r="U188" s="3"/>
      <c r="V188" s="4"/>
    </row>
    <row r="189" ht="15.75" customHeight="1">
      <c r="S189" s="3"/>
      <c r="T189" s="3"/>
      <c r="U189" s="3"/>
      <c r="V189" s="4"/>
    </row>
    <row r="190" ht="15.75" customHeight="1">
      <c r="S190" s="3"/>
      <c r="T190" s="3"/>
      <c r="U190" s="3"/>
      <c r="V190" s="4"/>
    </row>
    <row r="191" ht="15.75" customHeight="1">
      <c r="S191" s="3"/>
      <c r="T191" s="3"/>
      <c r="U191" s="3"/>
      <c r="V191" s="4"/>
    </row>
    <row r="192" ht="15.75" customHeight="1">
      <c r="S192" s="3"/>
      <c r="T192" s="3"/>
      <c r="U192" s="3"/>
      <c r="V192" s="4"/>
    </row>
    <row r="193" ht="15.75" customHeight="1">
      <c r="S193" s="3"/>
      <c r="T193" s="3"/>
      <c r="U193" s="3"/>
      <c r="V193" s="4"/>
    </row>
    <row r="194" ht="15.75" customHeight="1">
      <c r="S194" s="3"/>
      <c r="T194" s="3"/>
      <c r="U194" s="3"/>
      <c r="V194" s="4"/>
    </row>
    <row r="195" ht="15.75" customHeight="1">
      <c r="S195" s="3"/>
      <c r="T195" s="3"/>
      <c r="U195" s="3"/>
      <c r="V195" s="4"/>
    </row>
    <row r="196" ht="15.75" customHeight="1">
      <c r="S196" s="3"/>
      <c r="T196" s="3"/>
      <c r="U196" s="3"/>
      <c r="V196" s="4"/>
    </row>
    <row r="197" ht="15.75" customHeight="1">
      <c r="S197" s="3"/>
      <c r="T197" s="3"/>
      <c r="U197" s="3"/>
      <c r="V197" s="4"/>
    </row>
    <row r="198" ht="15.75" customHeight="1">
      <c r="S198" s="3"/>
      <c r="T198" s="3"/>
      <c r="U198" s="3"/>
      <c r="V198" s="4"/>
    </row>
    <row r="199" ht="15.75" customHeight="1">
      <c r="S199" s="3"/>
      <c r="T199" s="3"/>
      <c r="U199" s="3"/>
      <c r="V199" s="4"/>
    </row>
    <row r="200" ht="15.75" customHeight="1">
      <c r="S200" s="3"/>
      <c r="T200" s="3"/>
      <c r="U200" s="3"/>
      <c r="V200" s="4"/>
    </row>
    <row r="201" ht="15.75" customHeight="1">
      <c r="S201" s="3"/>
      <c r="T201" s="3"/>
      <c r="U201" s="3"/>
      <c r="V201" s="4"/>
    </row>
    <row r="202" ht="15.75" customHeight="1">
      <c r="S202" s="3"/>
      <c r="T202" s="3"/>
      <c r="U202" s="3"/>
      <c r="V202" s="4"/>
    </row>
    <row r="203" ht="15.75" customHeight="1">
      <c r="S203" s="3"/>
      <c r="T203" s="3"/>
      <c r="U203" s="3"/>
      <c r="V203" s="4"/>
    </row>
    <row r="204" ht="15.75" customHeight="1">
      <c r="S204" s="3"/>
      <c r="T204" s="3"/>
      <c r="U204" s="3"/>
      <c r="V204" s="4"/>
    </row>
    <row r="205" ht="15.75" customHeight="1">
      <c r="S205" s="3"/>
      <c r="T205" s="3"/>
      <c r="U205" s="3"/>
      <c r="V205" s="4"/>
    </row>
    <row r="206" ht="15.75" customHeight="1">
      <c r="S206" s="3"/>
      <c r="T206" s="3"/>
      <c r="U206" s="3"/>
      <c r="V206" s="4"/>
    </row>
    <row r="207" ht="15.75" customHeight="1">
      <c r="S207" s="3"/>
      <c r="T207" s="3"/>
      <c r="U207" s="3"/>
      <c r="V207" s="4"/>
    </row>
    <row r="208" ht="15.75" customHeight="1">
      <c r="S208" s="3"/>
      <c r="T208" s="3"/>
      <c r="U208" s="3"/>
      <c r="V208" s="4"/>
    </row>
    <row r="209" ht="15.75" customHeight="1">
      <c r="S209" s="3"/>
      <c r="T209" s="3"/>
      <c r="U209" s="3"/>
      <c r="V209" s="4"/>
    </row>
    <row r="210" ht="15.75" customHeight="1">
      <c r="S210" s="3"/>
      <c r="T210" s="3"/>
      <c r="U210" s="3"/>
      <c r="V210" s="4"/>
    </row>
    <row r="211" ht="15.75" customHeight="1">
      <c r="S211" s="3"/>
      <c r="T211" s="3"/>
      <c r="U211" s="3"/>
      <c r="V211" s="4"/>
    </row>
    <row r="212" ht="15.75" customHeight="1">
      <c r="S212" s="3"/>
      <c r="T212" s="3"/>
      <c r="U212" s="3"/>
      <c r="V212" s="4"/>
    </row>
    <row r="213" ht="15.75" customHeight="1">
      <c r="S213" s="3"/>
      <c r="T213" s="3"/>
      <c r="U213" s="3"/>
      <c r="V213" s="4"/>
    </row>
    <row r="214" ht="15.75" customHeight="1">
      <c r="S214" s="3"/>
      <c r="T214" s="3"/>
      <c r="U214" s="3"/>
      <c r="V214" s="4"/>
    </row>
    <row r="215" ht="15.75" customHeight="1">
      <c r="S215" s="3"/>
      <c r="T215" s="3"/>
      <c r="U215" s="3"/>
      <c r="V215" s="4"/>
    </row>
    <row r="216" ht="15.75" customHeight="1">
      <c r="S216" s="3"/>
      <c r="T216" s="3"/>
      <c r="U216" s="3"/>
      <c r="V216" s="4"/>
    </row>
    <row r="217" ht="15.75" customHeight="1">
      <c r="S217" s="3"/>
      <c r="T217" s="3"/>
      <c r="U217" s="3"/>
      <c r="V217" s="4"/>
    </row>
    <row r="218" ht="15.75" customHeight="1">
      <c r="S218" s="3"/>
      <c r="T218" s="3"/>
      <c r="U218" s="3"/>
      <c r="V218" s="4"/>
    </row>
    <row r="219" ht="15.75" customHeight="1">
      <c r="S219" s="3"/>
      <c r="T219" s="3"/>
      <c r="U219" s="3"/>
      <c r="V219" s="4"/>
    </row>
    <row r="220" ht="15.75" customHeight="1">
      <c r="S220" s="3"/>
      <c r="T220" s="3"/>
      <c r="U220" s="3"/>
      <c r="V220" s="4"/>
    </row>
    <row r="221" ht="15.75" customHeight="1">
      <c r="S221" s="3"/>
      <c r="T221" s="3"/>
      <c r="U221" s="3"/>
      <c r="V221" s="4"/>
    </row>
    <row r="222" ht="15.75" customHeight="1">
      <c r="S222" s="3"/>
      <c r="T222" s="3"/>
      <c r="U222" s="3"/>
      <c r="V222" s="4"/>
    </row>
    <row r="223" ht="15.75" customHeight="1">
      <c r="S223" s="3"/>
      <c r="T223" s="3"/>
      <c r="U223" s="3"/>
      <c r="V223" s="4"/>
    </row>
    <row r="224" ht="15.75" customHeight="1">
      <c r="S224" s="3"/>
      <c r="T224" s="3"/>
      <c r="U224" s="3"/>
      <c r="V224" s="4"/>
    </row>
    <row r="225" ht="15.75" customHeight="1">
      <c r="S225" s="3"/>
      <c r="T225" s="3"/>
      <c r="U225" s="3"/>
      <c r="V225" s="4"/>
    </row>
    <row r="226" ht="15.75" customHeight="1">
      <c r="S226" s="3"/>
      <c r="T226" s="3"/>
      <c r="U226" s="3"/>
      <c r="V226" s="4"/>
    </row>
    <row r="227" ht="15.75" customHeight="1">
      <c r="S227" s="3"/>
      <c r="T227" s="3"/>
      <c r="U227" s="3"/>
      <c r="V227" s="4"/>
    </row>
    <row r="228" ht="15.75" customHeight="1">
      <c r="S228" s="3"/>
      <c r="T228" s="3"/>
      <c r="U228" s="3"/>
      <c r="V228" s="4"/>
    </row>
    <row r="229" ht="15.75" customHeight="1">
      <c r="S229" s="3"/>
      <c r="T229" s="3"/>
      <c r="U229" s="3"/>
      <c r="V229" s="4"/>
    </row>
    <row r="230" ht="15.75" customHeight="1">
      <c r="S230" s="3"/>
      <c r="T230" s="3"/>
      <c r="U230" s="3"/>
      <c r="V230" s="4"/>
    </row>
    <row r="231" ht="15.75" customHeight="1">
      <c r="S231" s="3"/>
      <c r="T231" s="3"/>
      <c r="U231" s="3"/>
      <c r="V231" s="4"/>
    </row>
    <row r="232" ht="15.75" customHeight="1">
      <c r="S232" s="3"/>
      <c r="T232" s="3"/>
      <c r="U232" s="3"/>
      <c r="V232" s="4"/>
    </row>
    <row r="233" ht="15.75" customHeight="1">
      <c r="S233" s="3"/>
      <c r="T233" s="3"/>
      <c r="U233" s="3"/>
      <c r="V233" s="4"/>
    </row>
    <row r="234" ht="15.75" customHeight="1">
      <c r="S234" s="3"/>
      <c r="T234" s="3"/>
      <c r="U234" s="3"/>
      <c r="V234" s="4"/>
    </row>
    <row r="235" ht="15.75" customHeight="1">
      <c r="S235" s="3"/>
      <c r="T235" s="3"/>
      <c r="U235" s="3"/>
      <c r="V235" s="4"/>
    </row>
    <row r="236" ht="15.75" customHeight="1">
      <c r="S236" s="3"/>
      <c r="T236" s="3"/>
      <c r="U236" s="3"/>
      <c r="V236" s="4"/>
    </row>
    <row r="237" ht="15.75" customHeight="1">
      <c r="S237" s="3"/>
      <c r="T237" s="3"/>
      <c r="U237" s="3"/>
      <c r="V237" s="4"/>
    </row>
    <row r="238" ht="15.75" customHeight="1">
      <c r="S238" s="3"/>
      <c r="T238" s="3"/>
      <c r="U238" s="3"/>
      <c r="V238" s="4"/>
    </row>
    <row r="239" ht="15.75" customHeight="1">
      <c r="S239" s="3"/>
      <c r="T239" s="3"/>
      <c r="U239" s="3"/>
      <c r="V239" s="4"/>
    </row>
    <row r="240" ht="15.75" customHeight="1">
      <c r="S240" s="3"/>
      <c r="T240" s="3"/>
      <c r="U240" s="3"/>
      <c r="V240" s="4"/>
    </row>
    <row r="241" ht="15.75" customHeight="1">
      <c r="S241" s="3"/>
      <c r="T241" s="3"/>
      <c r="U241" s="3"/>
      <c r="V241" s="4"/>
    </row>
    <row r="242" ht="15.75" customHeight="1">
      <c r="S242" s="3"/>
      <c r="T242" s="3"/>
      <c r="U242" s="3"/>
      <c r="V242" s="4"/>
    </row>
    <row r="243" ht="15.75" customHeight="1">
      <c r="S243" s="3"/>
      <c r="T243" s="3"/>
      <c r="U243" s="3"/>
      <c r="V243" s="4"/>
    </row>
    <row r="244" ht="15.75" customHeight="1">
      <c r="S244" s="3"/>
      <c r="T244" s="3"/>
      <c r="U244" s="3"/>
      <c r="V244" s="4"/>
    </row>
    <row r="245" ht="15.75" customHeight="1">
      <c r="S245" s="3"/>
      <c r="T245" s="3"/>
      <c r="U245" s="3"/>
      <c r="V245" s="4"/>
    </row>
    <row r="246" ht="15.75" customHeight="1">
      <c r="S246" s="3"/>
      <c r="T246" s="3"/>
      <c r="U246" s="3"/>
      <c r="V246" s="4"/>
    </row>
    <row r="247" ht="15.75" customHeight="1">
      <c r="S247" s="3"/>
      <c r="T247" s="3"/>
      <c r="U247" s="3"/>
      <c r="V247" s="4"/>
    </row>
    <row r="248" ht="15.75" customHeight="1">
      <c r="S248" s="3"/>
      <c r="T248" s="3"/>
      <c r="U248" s="3"/>
      <c r="V248" s="4"/>
    </row>
    <row r="249" ht="15.75" customHeight="1">
      <c r="S249" s="3"/>
      <c r="T249" s="3"/>
      <c r="U249" s="3"/>
      <c r="V249" s="4"/>
    </row>
    <row r="250" ht="15.75" customHeight="1">
      <c r="S250" s="3"/>
      <c r="T250" s="3"/>
      <c r="U250" s="3"/>
      <c r="V250" s="4"/>
    </row>
    <row r="251" ht="15.75" customHeight="1">
      <c r="S251" s="3"/>
      <c r="T251" s="3"/>
      <c r="U251" s="3"/>
      <c r="V251" s="4"/>
    </row>
    <row r="252" ht="15.75" customHeight="1">
      <c r="S252" s="3"/>
      <c r="T252" s="3"/>
      <c r="U252" s="3"/>
      <c r="V252" s="4"/>
    </row>
    <row r="253" ht="15.75" customHeight="1">
      <c r="S253" s="3"/>
      <c r="T253" s="3"/>
      <c r="U253" s="3"/>
      <c r="V253" s="4"/>
    </row>
    <row r="254" ht="15.75" customHeight="1">
      <c r="S254" s="3"/>
      <c r="T254" s="3"/>
      <c r="U254" s="3"/>
      <c r="V254" s="4"/>
    </row>
    <row r="255" ht="15.75" customHeight="1">
      <c r="S255" s="3"/>
      <c r="T255" s="3"/>
      <c r="U255" s="3"/>
      <c r="V255" s="4"/>
    </row>
    <row r="256" ht="15.75" customHeight="1">
      <c r="S256" s="3"/>
      <c r="T256" s="3"/>
      <c r="U256" s="3"/>
      <c r="V256" s="4"/>
    </row>
    <row r="257" ht="15.75" customHeight="1">
      <c r="S257" s="3"/>
      <c r="T257" s="3"/>
      <c r="U257" s="3"/>
      <c r="V257" s="4"/>
    </row>
    <row r="258" ht="15.75" customHeight="1">
      <c r="S258" s="3"/>
      <c r="T258" s="3"/>
      <c r="U258" s="3"/>
      <c r="V258" s="4"/>
    </row>
    <row r="259" ht="15.75" customHeight="1">
      <c r="S259" s="3"/>
      <c r="T259" s="3"/>
      <c r="U259" s="3"/>
      <c r="V259" s="4"/>
    </row>
    <row r="260" ht="15.75" customHeight="1">
      <c r="S260" s="3"/>
      <c r="T260" s="3"/>
      <c r="U260" s="3"/>
      <c r="V260" s="4"/>
    </row>
    <row r="261" ht="15.75" customHeight="1">
      <c r="S261" s="3"/>
      <c r="T261" s="3"/>
      <c r="U261" s="3"/>
      <c r="V261" s="4"/>
    </row>
    <row r="262" ht="15.75" customHeight="1">
      <c r="S262" s="3"/>
      <c r="T262" s="3"/>
      <c r="U262" s="3"/>
      <c r="V262" s="4"/>
    </row>
    <row r="263" ht="15.75" customHeight="1">
      <c r="S263" s="3"/>
      <c r="T263" s="3"/>
      <c r="U263" s="3"/>
      <c r="V263" s="4"/>
    </row>
    <row r="264" ht="15.75" customHeight="1">
      <c r="S264" s="3"/>
      <c r="T264" s="3"/>
      <c r="U264" s="3"/>
      <c r="V264" s="4"/>
    </row>
    <row r="265" ht="15.75" customHeight="1">
      <c r="S265" s="3"/>
      <c r="T265" s="3"/>
      <c r="U265" s="3"/>
      <c r="V265" s="4"/>
    </row>
    <row r="266" ht="15.75" customHeight="1">
      <c r="S266" s="3"/>
      <c r="T266" s="3"/>
      <c r="U266" s="3"/>
      <c r="V266" s="4"/>
    </row>
    <row r="267" ht="15.75" customHeight="1">
      <c r="S267" s="3"/>
      <c r="T267" s="3"/>
      <c r="U267" s="3"/>
      <c r="V267" s="4"/>
    </row>
    <row r="268" ht="15.75" customHeight="1">
      <c r="S268" s="3"/>
      <c r="T268" s="3"/>
      <c r="U268" s="3"/>
      <c r="V268" s="4"/>
    </row>
    <row r="269" ht="15.75" customHeight="1">
      <c r="S269" s="3"/>
      <c r="T269" s="3"/>
      <c r="U269" s="3"/>
      <c r="V269" s="4"/>
    </row>
    <row r="270" ht="15.75" customHeight="1">
      <c r="S270" s="3"/>
      <c r="T270" s="3"/>
      <c r="U270" s="3"/>
      <c r="V270" s="4"/>
    </row>
    <row r="271" ht="15.75" customHeight="1">
      <c r="S271" s="3"/>
      <c r="T271" s="3"/>
      <c r="U271" s="3"/>
      <c r="V271" s="4"/>
    </row>
    <row r="272" ht="15.75" customHeight="1">
      <c r="S272" s="3"/>
      <c r="T272" s="3"/>
      <c r="U272" s="3"/>
      <c r="V272" s="4"/>
    </row>
    <row r="273" ht="15.75" customHeight="1">
      <c r="S273" s="3"/>
      <c r="T273" s="3"/>
      <c r="U273" s="3"/>
      <c r="V273" s="4"/>
    </row>
    <row r="274" ht="15.75" customHeight="1">
      <c r="S274" s="3"/>
      <c r="T274" s="3"/>
      <c r="U274" s="3"/>
      <c r="V274" s="4"/>
    </row>
    <row r="275" ht="15.75" customHeight="1">
      <c r="S275" s="3"/>
      <c r="T275" s="3"/>
      <c r="U275" s="3"/>
      <c r="V275" s="4"/>
    </row>
    <row r="276" ht="15.75" customHeight="1">
      <c r="S276" s="3"/>
      <c r="T276" s="3"/>
      <c r="U276" s="3"/>
      <c r="V276" s="4"/>
    </row>
    <row r="277" ht="15.75" customHeight="1">
      <c r="S277" s="3"/>
      <c r="T277" s="3"/>
      <c r="U277" s="3"/>
      <c r="V277" s="4"/>
    </row>
    <row r="278" ht="15.75" customHeight="1">
      <c r="S278" s="3"/>
      <c r="T278" s="3"/>
      <c r="U278" s="3"/>
      <c r="V278" s="4"/>
    </row>
    <row r="279" ht="15.75" customHeight="1">
      <c r="S279" s="3"/>
      <c r="T279" s="3"/>
      <c r="U279" s="3"/>
      <c r="V279" s="4"/>
    </row>
    <row r="280" ht="15.75" customHeight="1">
      <c r="S280" s="3"/>
      <c r="T280" s="3"/>
      <c r="U280" s="3"/>
      <c r="V280" s="4"/>
    </row>
    <row r="281" ht="15.75" customHeight="1">
      <c r="S281" s="3"/>
      <c r="T281" s="3"/>
      <c r="U281" s="3"/>
      <c r="V281" s="4"/>
    </row>
    <row r="282" ht="15.75" customHeight="1">
      <c r="S282" s="3"/>
      <c r="T282" s="3"/>
      <c r="U282" s="3"/>
      <c r="V282" s="4"/>
    </row>
    <row r="283" ht="15.75" customHeight="1">
      <c r="S283" s="3"/>
      <c r="T283" s="3"/>
      <c r="U283" s="3"/>
      <c r="V283" s="4"/>
    </row>
    <row r="284" ht="15.75" customHeight="1">
      <c r="S284" s="3"/>
      <c r="T284" s="3"/>
      <c r="U284" s="3"/>
      <c r="V284" s="4"/>
    </row>
    <row r="285" ht="15.75" customHeight="1">
      <c r="S285" s="3"/>
      <c r="T285" s="3"/>
      <c r="U285" s="3"/>
      <c r="V285" s="4"/>
    </row>
    <row r="286" ht="15.75" customHeight="1">
      <c r="S286" s="3"/>
      <c r="T286" s="3"/>
      <c r="U286" s="3"/>
      <c r="V286" s="4"/>
    </row>
    <row r="287" ht="15.75" customHeight="1">
      <c r="S287" s="3"/>
      <c r="T287" s="3"/>
      <c r="U287" s="3"/>
      <c r="V287" s="4"/>
    </row>
    <row r="288" ht="15.75" customHeight="1">
      <c r="S288" s="3"/>
      <c r="T288" s="3"/>
      <c r="U288" s="3"/>
      <c r="V288" s="4"/>
    </row>
    <row r="289" ht="15.75" customHeight="1">
      <c r="S289" s="3"/>
      <c r="T289" s="3"/>
      <c r="U289" s="3"/>
      <c r="V289" s="4"/>
    </row>
    <row r="290" ht="15.75" customHeight="1">
      <c r="S290" s="3"/>
      <c r="T290" s="3"/>
      <c r="U290" s="3"/>
      <c r="V290" s="4"/>
    </row>
    <row r="291" ht="15.75" customHeight="1">
      <c r="S291" s="3"/>
      <c r="T291" s="3"/>
      <c r="U291" s="3"/>
      <c r="V291" s="4"/>
    </row>
    <row r="292" ht="15.75" customHeight="1">
      <c r="S292" s="3"/>
      <c r="T292" s="3"/>
      <c r="U292" s="3"/>
      <c r="V292" s="4"/>
    </row>
    <row r="293" ht="15.75" customHeight="1">
      <c r="S293" s="3"/>
      <c r="T293" s="3"/>
      <c r="U293" s="3"/>
      <c r="V293" s="4"/>
    </row>
    <row r="294" ht="15.75" customHeight="1">
      <c r="S294" s="3"/>
      <c r="T294" s="3"/>
      <c r="U294" s="3"/>
      <c r="V294" s="4"/>
    </row>
    <row r="295" ht="15.75" customHeight="1">
      <c r="S295" s="3"/>
      <c r="T295" s="3"/>
      <c r="U295" s="3"/>
      <c r="V295" s="4"/>
    </row>
    <row r="296" ht="15.75" customHeight="1">
      <c r="S296" s="3"/>
      <c r="T296" s="3"/>
      <c r="U296" s="3"/>
      <c r="V296" s="4"/>
    </row>
    <row r="297" ht="15.75" customHeight="1">
      <c r="S297" s="3"/>
      <c r="T297" s="3"/>
      <c r="U297" s="3"/>
      <c r="V297" s="4"/>
    </row>
    <row r="298" ht="15.75" customHeight="1">
      <c r="S298" s="3"/>
      <c r="T298" s="3"/>
      <c r="U298" s="3"/>
      <c r="V298" s="4"/>
    </row>
    <row r="299" ht="15.75" customHeight="1">
      <c r="S299" s="3"/>
      <c r="T299" s="3"/>
      <c r="U299" s="3"/>
      <c r="V299" s="4"/>
    </row>
    <row r="300" ht="15.75" customHeight="1">
      <c r="S300" s="3"/>
      <c r="T300" s="3"/>
      <c r="U300" s="3"/>
      <c r="V300" s="4"/>
    </row>
    <row r="301" ht="15.75" customHeight="1">
      <c r="S301" s="3"/>
      <c r="T301" s="3"/>
      <c r="U301" s="3"/>
      <c r="V301" s="4"/>
    </row>
    <row r="302" ht="15.75" customHeight="1">
      <c r="S302" s="3"/>
      <c r="T302" s="3"/>
      <c r="U302" s="3"/>
      <c r="V302" s="4"/>
    </row>
    <row r="303" ht="15.75" customHeight="1">
      <c r="S303" s="3"/>
      <c r="T303" s="3"/>
      <c r="U303" s="3"/>
      <c r="V303" s="4"/>
    </row>
    <row r="304" ht="15.75" customHeight="1">
      <c r="S304" s="3"/>
      <c r="T304" s="3"/>
      <c r="U304" s="3"/>
      <c r="V304" s="4"/>
    </row>
    <row r="305" ht="15.75" customHeight="1">
      <c r="S305" s="3"/>
      <c r="T305" s="3"/>
      <c r="U305" s="3"/>
      <c r="V305" s="4"/>
    </row>
    <row r="306" ht="15.75" customHeight="1">
      <c r="S306" s="3"/>
      <c r="T306" s="3"/>
      <c r="U306" s="3"/>
      <c r="V306" s="4"/>
    </row>
    <row r="307" ht="15.75" customHeight="1">
      <c r="S307" s="3"/>
      <c r="T307" s="3"/>
      <c r="U307" s="3"/>
      <c r="V307" s="4"/>
    </row>
    <row r="308" ht="15.75" customHeight="1">
      <c r="S308" s="3"/>
      <c r="T308" s="3"/>
      <c r="U308" s="3"/>
      <c r="V308" s="4"/>
    </row>
    <row r="309" ht="15.75" customHeight="1">
      <c r="S309" s="3"/>
      <c r="T309" s="3"/>
      <c r="U309" s="3"/>
      <c r="V309" s="4"/>
    </row>
    <row r="310" ht="15.75" customHeight="1">
      <c r="S310" s="3"/>
      <c r="T310" s="3"/>
      <c r="U310" s="3"/>
      <c r="V310" s="4"/>
    </row>
    <row r="311" ht="15.75" customHeight="1">
      <c r="S311" s="3"/>
      <c r="T311" s="3"/>
      <c r="U311" s="3"/>
      <c r="V311" s="4"/>
    </row>
    <row r="312" ht="15.75" customHeight="1">
      <c r="S312" s="3"/>
      <c r="T312" s="3"/>
      <c r="U312" s="3"/>
      <c r="V312" s="4"/>
    </row>
    <row r="313" ht="15.75" customHeight="1">
      <c r="S313" s="3"/>
      <c r="T313" s="3"/>
      <c r="U313" s="3"/>
      <c r="V313" s="4"/>
    </row>
    <row r="314" ht="15.75" customHeight="1">
      <c r="S314" s="3"/>
      <c r="T314" s="3"/>
      <c r="U314" s="3"/>
      <c r="V314" s="4"/>
    </row>
    <row r="315" ht="15.75" customHeight="1">
      <c r="S315" s="3"/>
      <c r="T315" s="3"/>
      <c r="U315" s="3"/>
      <c r="V315" s="4"/>
    </row>
    <row r="316" ht="15.75" customHeight="1">
      <c r="S316" s="3"/>
      <c r="T316" s="3"/>
      <c r="U316" s="3"/>
      <c r="V316" s="4"/>
    </row>
    <row r="317" ht="15.75" customHeight="1">
      <c r="S317" s="3"/>
      <c r="T317" s="3"/>
      <c r="U317" s="3"/>
      <c r="V317" s="4"/>
    </row>
    <row r="318" ht="15.75" customHeight="1">
      <c r="S318" s="3"/>
      <c r="T318" s="3"/>
      <c r="U318" s="3"/>
      <c r="V318" s="4"/>
    </row>
    <row r="319" ht="15.75" customHeight="1">
      <c r="S319" s="3"/>
      <c r="T319" s="3"/>
      <c r="U319" s="3"/>
      <c r="V319" s="4"/>
    </row>
    <row r="320" ht="15.75" customHeight="1">
      <c r="S320" s="3"/>
      <c r="T320" s="3"/>
      <c r="U320" s="3"/>
      <c r="V320" s="4"/>
    </row>
    <row r="321" ht="15.75" customHeight="1">
      <c r="S321" s="3"/>
      <c r="T321" s="3"/>
      <c r="U321" s="3"/>
      <c r="V321" s="4"/>
    </row>
    <row r="322" ht="15.75" customHeight="1">
      <c r="S322" s="3"/>
      <c r="T322" s="3"/>
      <c r="U322" s="3"/>
      <c r="V322" s="4"/>
    </row>
    <row r="323" ht="15.75" customHeight="1">
      <c r="S323" s="3"/>
      <c r="T323" s="3"/>
      <c r="U323" s="3"/>
      <c r="V323" s="4"/>
    </row>
    <row r="324" ht="15.75" customHeight="1">
      <c r="S324" s="3"/>
      <c r="T324" s="3"/>
      <c r="U324" s="3"/>
      <c r="V324" s="4"/>
    </row>
    <row r="325" ht="15.75" customHeight="1">
      <c r="S325" s="3"/>
      <c r="T325" s="3"/>
      <c r="U325" s="3"/>
      <c r="V325" s="4"/>
    </row>
    <row r="326" ht="15.75" customHeight="1">
      <c r="S326" s="3"/>
      <c r="T326" s="3"/>
      <c r="U326" s="3"/>
      <c r="V326" s="4"/>
    </row>
    <row r="327" ht="15.75" customHeight="1">
      <c r="S327" s="3"/>
      <c r="T327" s="3"/>
      <c r="U327" s="3"/>
      <c r="V327" s="4"/>
    </row>
    <row r="328" ht="15.75" customHeight="1">
      <c r="S328" s="3"/>
      <c r="T328" s="3"/>
      <c r="U328" s="3"/>
      <c r="V328" s="4"/>
    </row>
    <row r="329" ht="15.75" customHeight="1">
      <c r="S329" s="3"/>
      <c r="T329" s="3"/>
      <c r="U329" s="3"/>
      <c r="V329" s="4"/>
    </row>
    <row r="330" ht="15.75" customHeight="1">
      <c r="S330" s="3"/>
      <c r="T330" s="3"/>
      <c r="U330" s="3"/>
      <c r="V330" s="4"/>
    </row>
    <row r="331" ht="15.75" customHeight="1">
      <c r="S331" s="3"/>
      <c r="T331" s="3"/>
      <c r="U331" s="3"/>
      <c r="V331" s="4"/>
    </row>
    <row r="332" ht="15.75" customHeight="1">
      <c r="S332" s="3"/>
      <c r="T332" s="3"/>
      <c r="U332" s="3"/>
      <c r="V332" s="4"/>
    </row>
    <row r="333" ht="15.75" customHeight="1">
      <c r="S333" s="3"/>
      <c r="T333" s="3"/>
      <c r="U333" s="3"/>
      <c r="V333" s="4"/>
    </row>
    <row r="334" ht="15.75" customHeight="1">
      <c r="S334" s="3"/>
      <c r="T334" s="3"/>
      <c r="U334" s="3"/>
      <c r="V334" s="4"/>
    </row>
    <row r="335" ht="15.75" customHeight="1">
      <c r="S335" s="3"/>
      <c r="T335" s="3"/>
      <c r="U335" s="3"/>
      <c r="V335" s="4"/>
    </row>
    <row r="336" ht="15.75" customHeight="1">
      <c r="S336" s="3"/>
      <c r="T336" s="3"/>
      <c r="U336" s="3"/>
      <c r="V336" s="4"/>
    </row>
    <row r="337" ht="15.75" customHeight="1">
      <c r="S337" s="3"/>
      <c r="T337" s="3"/>
      <c r="U337" s="3"/>
      <c r="V337" s="4"/>
    </row>
    <row r="338" ht="15.75" customHeight="1">
      <c r="S338" s="3"/>
      <c r="T338" s="3"/>
      <c r="U338" s="3"/>
      <c r="V338" s="4"/>
    </row>
    <row r="339" ht="15.75" customHeight="1">
      <c r="S339" s="3"/>
      <c r="T339" s="3"/>
      <c r="U339" s="3"/>
      <c r="V339" s="4"/>
    </row>
    <row r="340" ht="15.75" customHeight="1">
      <c r="S340" s="3"/>
      <c r="T340" s="3"/>
      <c r="U340" s="3"/>
      <c r="V340" s="4"/>
    </row>
    <row r="341" ht="15.75" customHeight="1">
      <c r="S341" s="3"/>
      <c r="T341" s="3"/>
      <c r="U341" s="3"/>
      <c r="V341" s="4"/>
    </row>
    <row r="342" ht="15.75" customHeight="1">
      <c r="S342" s="3"/>
      <c r="T342" s="3"/>
      <c r="U342" s="3"/>
      <c r="V342" s="4"/>
    </row>
    <row r="343" ht="15.75" customHeight="1">
      <c r="S343" s="3"/>
      <c r="T343" s="3"/>
      <c r="U343" s="3"/>
      <c r="V343" s="4"/>
    </row>
    <row r="344" ht="15.75" customHeight="1">
      <c r="S344" s="3"/>
      <c r="T344" s="3"/>
      <c r="U344" s="3"/>
      <c r="V344" s="4"/>
    </row>
    <row r="345" ht="15.75" customHeight="1">
      <c r="S345" s="3"/>
      <c r="T345" s="3"/>
      <c r="U345" s="3"/>
      <c r="V345" s="4"/>
    </row>
    <row r="346" ht="15.75" customHeight="1">
      <c r="S346" s="3"/>
      <c r="T346" s="3"/>
      <c r="U346" s="3"/>
      <c r="V346" s="4"/>
    </row>
    <row r="347" ht="15.75" customHeight="1">
      <c r="S347" s="3"/>
      <c r="T347" s="3"/>
      <c r="U347" s="3"/>
      <c r="V347" s="4"/>
    </row>
    <row r="348" ht="15.75" customHeight="1">
      <c r="S348" s="3"/>
      <c r="T348" s="3"/>
      <c r="U348" s="3"/>
      <c r="V348" s="4"/>
    </row>
    <row r="349" ht="15.75" customHeight="1">
      <c r="S349" s="3"/>
      <c r="T349" s="3"/>
      <c r="U349" s="3"/>
      <c r="V349" s="4"/>
    </row>
    <row r="350" ht="15.75" customHeight="1">
      <c r="S350" s="3"/>
      <c r="T350" s="3"/>
      <c r="U350" s="3"/>
      <c r="V350" s="4"/>
    </row>
    <row r="351" ht="15.75" customHeight="1">
      <c r="S351" s="3"/>
      <c r="T351" s="3"/>
      <c r="U351" s="3"/>
      <c r="V351" s="4"/>
    </row>
    <row r="352" ht="15.75" customHeight="1">
      <c r="S352" s="3"/>
      <c r="T352" s="3"/>
      <c r="U352" s="3"/>
      <c r="V352" s="4"/>
    </row>
    <row r="353" ht="15.75" customHeight="1">
      <c r="S353" s="3"/>
      <c r="T353" s="3"/>
      <c r="U353" s="3"/>
      <c r="V353" s="4"/>
    </row>
    <row r="354" ht="15.75" customHeight="1">
      <c r="S354" s="3"/>
      <c r="T354" s="3"/>
      <c r="U354" s="3"/>
      <c r="V354" s="4"/>
    </row>
    <row r="355" ht="15.75" customHeight="1">
      <c r="S355" s="3"/>
      <c r="T355" s="3"/>
      <c r="U355" s="3"/>
      <c r="V355" s="4"/>
    </row>
    <row r="356" ht="15.75" customHeight="1">
      <c r="S356" s="3"/>
      <c r="T356" s="3"/>
      <c r="U356" s="3"/>
      <c r="V356" s="4"/>
    </row>
    <row r="357" ht="15.75" customHeight="1">
      <c r="S357" s="3"/>
      <c r="T357" s="3"/>
      <c r="U357" s="3"/>
      <c r="V357" s="4"/>
    </row>
    <row r="358" ht="15.75" customHeight="1">
      <c r="S358" s="3"/>
      <c r="T358" s="3"/>
      <c r="U358" s="3"/>
      <c r="V358" s="4"/>
    </row>
    <row r="359" ht="15.75" customHeight="1">
      <c r="S359" s="3"/>
      <c r="T359" s="3"/>
      <c r="U359" s="3"/>
      <c r="V359" s="4"/>
    </row>
    <row r="360" ht="15.75" customHeight="1">
      <c r="S360" s="3"/>
      <c r="T360" s="3"/>
      <c r="U360" s="3"/>
      <c r="V360" s="4"/>
    </row>
    <row r="361" ht="15.75" customHeight="1">
      <c r="S361" s="3"/>
      <c r="T361" s="3"/>
      <c r="U361" s="3"/>
      <c r="V361" s="4"/>
    </row>
    <row r="362" ht="15.75" customHeight="1">
      <c r="S362" s="3"/>
      <c r="T362" s="3"/>
      <c r="U362" s="3"/>
      <c r="V362" s="4"/>
    </row>
    <row r="363" ht="15.75" customHeight="1">
      <c r="S363" s="3"/>
      <c r="T363" s="3"/>
      <c r="U363" s="3"/>
      <c r="V363" s="4"/>
    </row>
    <row r="364" ht="15.75" customHeight="1">
      <c r="S364" s="3"/>
      <c r="T364" s="3"/>
      <c r="U364" s="3"/>
      <c r="V364" s="4"/>
    </row>
    <row r="365" ht="15.75" customHeight="1">
      <c r="S365" s="3"/>
      <c r="T365" s="3"/>
      <c r="U365" s="3"/>
      <c r="V365" s="4"/>
    </row>
    <row r="366" ht="15.75" customHeight="1">
      <c r="S366" s="3"/>
      <c r="T366" s="3"/>
      <c r="U366" s="3"/>
      <c r="V366" s="4"/>
    </row>
    <row r="367" ht="15.75" customHeight="1">
      <c r="S367" s="3"/>
      <c r="T367" s="3"/>
      <c r="U367" s="3"/>
      <c r="V367" s="4"/>
    </row>
    <row r="368" ht="15.75" customHeight="1">
      <c r="S368" s="3"/>
      <c r="T368" s="3"/>
      <c r="U368" s="3"/>
      <c r="V368" s="4"/>
    </row>
    <row r="369" ht="15.75" customHeight="1">
      <c r="S369" s="3"/>
      <c r="T369" s="3"/>
      <c r="U369" s="3"/>
      <c r="V369" s="4"/>
    </row>
    <row r="370" ht="15.75" customHeight="1">
      <c r="S370" s="3"/>
      <c r="T370" s="3"/>
      <c r="U370" s="3"/>
      <c r="V370" s="4"/>
    </row>
    <row r="371" ht="15.75" customHeight="1">
      <c r="S371" s="3"/>
      <c r="T371" s="3"/>
      <c r="U371" s="3"/>
      <c r="V371" s="4"/>
    </row>
    <row r="372" ht="15.75" customHeight="1">
      <c r="S372" s="3"/>
      <c r="T372" s="3"/>
      <c r="U372" s="3"/>
      <c r="V372" s="4"/>
    </row>
    <row r="373" ht="15.75" customHeight="1">
      <c r="S373" s="3"/>
      <c r="T373" s="3"/>
      <c r="U373" s="3"/>
      <c r="V373" s="4"/>
    </row>
    <row r="374" ht="15.75" customHeight="1">
      <c r="S374" s="3"/>
      <c r="T374" s="3"/>
      <c r="U374" s="3"/>
      <c r="V374" s="4"/>
    </row>
    <row r="375" ht="15.75" customHeight="1">
      <c r="S375" s="3"/>
      <c r="T375" s="3"/>
      <c r="U375" s="3"/>
      <c r="V375" s="4"/>
    </row>
    <row r="376" ht="15.75" customHeight="1">
      <c r="S376" s="3"/>
      <c r="T376" s="3"/>
      <c r="U376" s="3"/>
      <c r="V376" s="4"/>
    </row>
    <row r="377" ht="15.75" customHeight="1">
      <c r="S377" s="3"/>
      <c r="T377" s="3"/>
      <c r="U377" s="3"/>
      <c r="V377" s="4"/>
    </row>
    <row r="378" ht="15.75" customHeight="1">
      <c r="S378" s="3"/>
      <c r="T378" s="3"/>
      <c r="U378" s="3"/>
      <c r="V378" s="4"/>
    </row>
    <row r="379" ht="15.75" customHeight="1">
      <c r="S379" s="3"/>
      <c r="T379" s="3"/>
      <c r="U379" s="3"/>
      <c r="V379" s="4"/>
    </row>
    <row r="380" ht="15.75" customHeight="1">
      <c r="S380" s="3"/>
      <c r="T380" s="3"/>
      <c r="U380" s="3"/>
      <c r="V380" s="4"/>
    </row>
    <row r="381" ht="15.75" customHeight="1">
      <c r="S381" s="3"/>
      <c r="T381" s="3"/>
      <c r="U381" s="3"/>
      <c r="V381" s="4"/>
    </row>
    <row r="382" ht="15.75" customHeight="1">
      <c r="S382" s="3"/>
      <c r="T382" s="3"/>
      <c r="U382" s="3"/>
      <c r="V382" s="4"/>
    </row>
    <row r="383" ht="15.75" customHeight="1">
      <c r="S383" s="3"/>
      <c r="T383" s="3"/>
      <c r="U383" s="3"/>
      <c r="V383" s="4"/>
    </row>
    <row r="384" ht="15.75" customHeight="1">
      <c r="S384" s="3"/>
      <c r="T384" s="3"/>
      <c r="U384" s="3"/>
      <c r="V384" s="4"/>
    </row>
    <row r="385" ht="15.75" customHeight="1">
      <c r="S385" s="3"/>
      <c r="T385" s="3"/>
      <c r="U385" s="3"/>
      <c r="V385" s="4"/>
    </row>
    <row r="386" ht="15.75" customHeight="1">
      <c r="S386" s="3"/>
      <c r="T386" s="3"/>
      <c r="U386" s="3"/>
      <c r="V386" s="4"/>
    </row>
    <row r="387" ht="15.75" customHeight="1">
      <c r="S387" s="3"/>
      <c r="T387" s="3"/>
      <c r="U387" s="3"/>
      <c r="V387" s="4"/>
    </row>
    <row r="388" ht="15.75" customHeight="1">
      <c r="S388" s="3"/>
      <c r="T388" s="3"/>
      <c r="U388" s="3"/>
      <c r="V388" s="4"/>
    </row>
    <row r="389" ht="15.75" customHeight="1">
      <c r="S389" s="3"/>
      <c r="T389" s="3"/>
      <c r="U389" s="3"/>
      <c r="V389" s="4"/>
    </row>
    <row r="390" ht="15.75" customHeight="1">
      <c r="S390" s="3"/>
      <c r="T390" s="3"/>
      <c r="U390" s="3"/>
      <c r="V390" s="4"/>
    </row>
    <row r="391" ht="15.75" customHeight="1">
      <c r="S391" s="3"/>
      <c r="T391" s="3"/>
      <c r="U391" s="3"/>
      <c r="V391" s="4"/>
    </row>
    <row r="392" ht="15.75" customHeight="1">
      <c r="S392" s="3"/>
      <c r="T392" s="3"/>
      <c r="U392" s="3"/>
      <c r="V392" s="4"/>
    </row>
    <row r="393" ht="15.75" customHeight="1">
      <c r="S393" s="3"/>
      <c r="T393" s="3"/>
      <c r="U393" s="3"/>
      <c r="V393" s="4"/>
    </row>
    <row r="394" ht="15.75" customHeight="1">
      <c r="S394" s="3"/>
      <c r="T394" s="3"/>
      <c r="U394" s="3"/>
      <c r="V394" s="4"/>
    </row>
    <row r="395" ht="15.75" customHeight="1">
      <c r="S395" s="3"/>
      <c r="T395" s="3"/>
      <c r="U395" s="3"/>
      <c r="V395" s="4"/>
    </row>
    <row r="396" ht="15.75" customHeight="1">
      <c r="S396" s="3"/>
      <c r="T396" s="3"/>
      <c r="U396" s="3"/>
      <c r="V396" s="4"/>
    </row>
    <row r="397" ht="15.75" customHeight="1">
      <c r="S397" s="3"/>
      <c r="T397" s="3"/>
      <c r="U397" s="3"/>
      <c r="V397" s="4"/>
    </row>
    <row r="398" ht="15.75" customHeight="1">
      <c r="S398" s="3"/>
      <c r="T398" s="3"/>
      <c r="U398" s="3"/>
      <c r="V398" s="4"/>
    </row>
    <row r="399" ht="15.75" customHeight="1">
      <c r="S399" s="3"/>
      <c r="T399" s="3"/>
      <c r="U399" s="3"/>
      <c r="V399" s="4"/>
    </row>
    <row r="400" ht="15.75" customHeight="1">
      <c r="S400" s="3"/>
      <c r="T400" s="3"/>
      <c r="U400" s="3"/>
      <c r="V400" s="4"/>
    </row>
    <row r="401" ht="15.75" customHeight="1">
      <c r="S401" s="3"/>
      <c r="T401" s="3"/>
      <c r="U401" s="3"/>
      <c r="V401" s="4"/>
    </row>
    <row r="402" ht="15.75" customHeight="1">
      <c r="S402" s="3"/>
      <c r="T402" s="3"/>
      <c r="U402" s="3"/>
      <c r="V402" s="4"/>
    </row>
    <row r="403" ht="15.75" customHeight="1">
      <c r="S403" s="3"/>
      <c r="T403" s="3"/>
      <c r="U403" s="3"/>
      <c r="V403" s="4"/>
    </row>
    <row r="404" ht="15.75" customHeight="1">
      <c r="S404" s="3"/>
      <c r="T404" s="3"/>
      <c r="U404" s="3"/>
      <c r="V404" s="4"/>
    </row>
    <row r="405" ht="15.75" customHeight="1">
      <c r="S405" s="3"/>
      <c r="T405" s="3"/>
      <c r="U405" s="3"/>
      <c r="V405" s="4"/>
    </row>
    <row r="406" ht="15.75" customHeight="1">
      <c r="S406" s="3"/>
      <c r="T406" s="3"/>
      <c r="U406" s="3"/>
      <c r="V406" s="4"/>
    </row>
    <row r="407" ht="15.75" customHeight="1">
      <c r="S407" s="3"/>
      <c r="T407" s="3"/>
      <c r="U407" s="3"/>
      <c r="V407" s="4"/>
    </row>
    <row r="408" ht="15.75" customHeight="1">
      <c r="S408" s="3"/>
      <c r="T408" s="3"/>
      <c r="U408" s="3"/>
      <c r="V408" s="4"/>
    </row>
    <row r="409" ht="15.75" customHeight="1">
      <c r="S409" s="3"/>
      <c r="T409" s="3"/>
      <c r="U409" s="3"/>
      <c r="V409" s="4"/>
    </row>
    <row r="410" ht="15.75" customHeight="1">
      <c r="S410" s="3"/>
      <c r="T410" s="3"/>
      <c r="U410" s="3"/>
      <c r="V410" s="4"/>
    </row>
    <row r="411" ht="15.75" customHeight="1">
      <c r="S411" s="3"/>
      <c r="T411" s="3"/>
      <c r="U411" s="3"/>
      <c r="V411" s="4"/>
    </row>
    <row r="412" ht="15.75" customHeight="1">
      <c r="S412" s="3"/>
      <c r="T412" s="3"/>
      <c r="U412" s="3"/>
      <c r="V412" s="4"/>
    </row>
    <row r="413" ht="15.75" customHeight="1">
      <c r="S413" s="3"/>
      <c r="T413" s="3"/>
      <c r="U413" s="3"/>
      <c r="V413" s="4"/>
    </row>
    <row r="414" ht="15.75" customHeight="1">
      <c r="S414" s="3"/>
      <c r="T414" s="3"/>
      <c r="U414" s="3"/>
      <c r="V414" s="4"/>
    </row>
    <row r="415" ht="15.75" customHeight="1">
      <c r="S415" s="3"/>
      <c r="T415" s="3"/>
      <c r="U415" s="3"/>
      <c r="V415" s="4"/>
    </row>
    <row r="416" ht="15.75" customHeight="1">
      <c r="S416" s="3"/>
      <c r="T416" s="3"/>
      <c r="U416" s="3"/>
      <c r="V416" s="4"/>
    </row>
    <row r="417" ht="15.75" customHeight="1">
      <c r="S417" s="3"/>
      <c r="T417" s="3"/>
      <c r="U417" s="3"/>
      <c r="V417" s="4"/>
    </row>
    <row r="418" ht="15.75" customHeight="1">
      <c r="S418" s="3"/>
      <c r="T418" s="3"/>
      <c r="U418" s="3"/>
      <c r="V418" s="4"/>
    </row>
    <row r="419" ht="15.75" customHeight="1">
      <c r="S419" s="3"/>
      <c r="T419" s="3"/>
      <c r="U419" s="3"/>
      <c r="V419" s="4"/>
    </row>
    <row r="420" ht="15.75" customHeight="1">
      <c r="S420" s="3"/>
      <c r="T420" s="3"/>
      <c r="U420" s="3"/>
      <c r="V420" s="4"/>
    </row>
    <row r="421" ht="15.75" customHeight="1">
      <c r="S421" s="3"/>
      <c r="T421" s="3"/>
      <c r="U421" s="3"/>
      <c r="V421" s="4"/>
    </row>
    <row r="422" ht="15.75" customHeight="1">
      <c r="S422" s="3"/>
      <c r="T422" s="3"/>
      <c r="U422" s="3"/>
      <c r="V422" s="4"/>
    </row>
    <row r="423" ht="15.75" customHeight="1">
      <c r="S423" s="3"/>
      <c r="T423" s="3"/>
      <c r="U423" s="3"/>
      <c r="V423" s="4"/>
    </row>
    <row r="424" ht="15.75" customHeight="1">
      <c r="S424" s="3"/>
      <c r="T424" s="3"/>
      <c r="U424" s="3"/>
      <c r="V424" s="4"/>
    </row>
    <row r="425" ht="15.75" customHeight="1">
      <c r="S425" s="3"/>
      <c r="T425" s="3"/>
      <c r="U425" s="3"/>
      <c r="V425" s="4"/>
    </row>
    <row r="426" ht="15.75" customHeight="1">
      <c r="S426" s="3"/>
      <c r="T426" s="3"/>
      <c r="U426" s="3"/>
      <c r="V426" s="4"/>
    </row>
    <row r="427" ht="15.75" customHeight="1">
      <c r="S427" s="3"/>
      <c r="T427" s="3"/>
      <c r="U427" s="3"/>
      <c r="V427" s="4"/>
    </row>
    <row r="428" ht="15.75" customHeight="1">
      <c r="S428" s="3"/>
      <c r="T428" s="3"/>
      <c r="U428" s="3"/>
      <c r="V428" s="4"/>
    </row>
    <row r="429" ht="15.75" customHeight="1">
      <c r="S429" s="3"/>
      <c r="T429" s="3"/>
      <c r="U429" s="3"/>
      <c r="V429" s="4"/>
    </row>
    <row r="430" ht="15.75" customHeight="1">
      <c r="S430" s="3"/>
      <c r="T430" s="3"/>
      <c r="U430" s="3"/>
      <c r="V430" s="4"/>
    </row>
    <row r="431" ht="15.75" customHeight="1">
      <c r="S431" s="3"/>
      <c r="T431" s="3"/>
      <c r="U431" s="3"/>
      <c r="V431" s="4"/>
    </row>
    <row r="432" ht="15.75" customHeight="1">
      <c r="S432" s="3"/>
      <c r="T432" s="3"/>
      <c r="U432" s="3"/>
      <c r="V432" s="4"/>
    </row>
    <row r="433" ht="15.75" customHeight="1">
      <c r="S433" s="3"/>
      <c r="T433" s="3"/>
      <c r="U433" s="3"/>
      <c r="V433" s="4"/>
    </row>
    <row r="434" ht="15.75" customHeight="1">
      <c r="S434" s="3"/>
      <c r="T434" s="3"/>
      <c r="U434" s="3"/>
      <c r="V434" s="4"/>
    </row>
    <row r="435" ht="15.75" customHeight="1">
      <c r="S435" s="3"/>
      <c r="T435" s="3"/>
      <c r="U435" s="3"/>
      <c r="V435" s="4"/>
    </row>
    <row r="436" ht="15.75" customHeight="1">
      <c r="S436" s="3"/>
      <c r="T436" s="3"/>
      <c r="U436" s="3"/>
      <c r="V436" s="4"/>
    </row>
    <row r="437" ht="15.75" customHeight="1">
      <c r="S437" s="3"/>
      <c r="T437" s="3"/>
      <c r="U437" s="3"/>
      <c r="V437" s="4"/>
    </row>
    <row r="438" ht="15.75" customHeight="1">
      <c r="S438" s="3"/>
      <c r="T438" s="3"/>
      <c r="U438" s="3"/>
      <c r="V438" s="4"/>
    </row>
    <row r="439" ht="15.75" customHeight="1">
      <c r="S439" s="3"/>
      <c r="T439" s="3"/>
      <c r="U439" s="3"/>
      <c r="V439" s="4"/>
    </row>
    <row r="440" ht="15.75" customHeight="1">
      <c r="S440" s="3"/>
      <c r="T440" s="3"/>
      <c r="U440" s="3"/>
      <c r="V440" s="4"/>
    </row>
    <row r="441" ht="15.75" customHeight="1">
      <c r="S441" s="3"/>
      <c r="T441" s="3"/>
      <c r="U441" s="3"/>
      <c r="V441" s="4"/>
    </row>
    <row r="442" ht="15.75" customHeight="1">
      <c r="S442" s="3"/>
      <c r="T442" s="3"/>
      <c r="U442" s="3"/>
      <c r="V442" s="4"/>
    </row>
    <row r="443" ht="15.75" customHeight="1">
      <c r="S443" s="3"/>
      <c r="T443" s="3"/>
      <c r="U443" s="3"/>
      <c r="V443" s="4"/>
    </row>
    <row r="444" ht="15.75" customHeight="1">
      <c r="S444" s="3"/>
      <c r="T444" s="3"/>
      <c r="U444" s="3"/>
      <c r="V444" s="4"/>
    </row>
    <row r="445" ht="15.75" customHeight="1">
      <c r="S445" s="3"/>
      <c r="T445" s="3"/>
      <c r="U445" s="3"/>
      <c r="V445" s="4"/>
    </row>
    <row r="446" ht="15.75" customHeight="1">
      <c r="S446" s="3"/>
      <c r="T446" s="3"/>
      <c r="U446" s="3"/>
      <c r="V446" s="4"/>
    </row>
    <row r="447" ht="15.75" customHeight="1">
      <c r="S447" s="3"/>
      <c r="T447" s="3"/>
      <c r="U447" s="3"/>
      <c r="V447" s="4"/>
    </row>
    <row r="448" ht="15.75" customHeight="1">
      <c r="S448" s="3"/>
      <c r="T448" s="3"/>
      <c r="U448" s="3"/>
      <c r="V448" s="4"/>
    </row>
    <row r="449" ht="15.75" customHeight="1">
      <c r="S449" s="3"/>
      <c r="T449" s="3"/>
      <c r="U449" s="3"/>
      <c r="V449" s="4"/>
    </row>
    <row r="450" ht="15.75" customHeight="1">
      <c r="S450" s="3"/>
      <c r="T450" s="3"/>
      <c r="U450" s="3"/>
      <c r="V450" s="4"/>
    </row>
    <row r="451" ht="15.75" customHeight="1">
      <c r="S451" s="3"/>
      <c r="T451" s="3"/>
      <c r="U451" s="3"/>
      <c r="V451" s="4"/>
    </row>
    <row r="452" ht="15.75" customHeight="1">
      <c r="S452" s="3"/>
      <c r="T452" s="3"/>
      <c r="U452" s="3"/>
      <c r="V452" s="4"/>
    </row>
    <row r="453" ht="15.75" customHeight="1">
      <c r="S453" s="3"/>
      <c r="T453" s="3"/>
      <c r="U453" s="3"/>
      <c r="V453" s="4"/>
    </row>
    <row r="454" ht="15.75" customHeight="1">
      <c r="S454" s="3"/>
      <c r="T454" s="3"/>
      <c r="U454" s="3"/>
      <c r="V454" s="4"/>
    </row>
    <row r="455" ht="15.75" customHeight="1">
      <c r="S455" s="3"/>
      <c r="T455" s="3"/>
      <c r="U455" s="3"/>
      <c r="V455" s="4"/>
    </row>
    <row r="456" ht="15.75" customHeight="1">
      <c r="S456" s="3"/>
      <c r="T456" s="3"/>
      <c r="U456" s="3"/>
      <c r="V456" s="4"/>
    </row>
    <row r="457" ht="15.75" customHeight="1">
      <c r="S457" s="3"/>
      <c r="T457" s="3"/>
      <c r="U457" s="3"/>
      <c r="V457" s="4"/>
    </row>
    <row r="458" ht="15.75" customHeight="1">
      <c r="S458" s="3"/>
      <c r="T458" s="3"/>
      <c r="U458" s="3"/>
      <c r="V458" s="4"/>
    </row>
    <row r="459" ht="15.75" customHeight="1">
      <c r="S459" s="3"/>
      <c r="T459" s="3"/>
      <c r="U459" s="3"/>
      <c r="V459" s="4"/>
    </row>
    <row r="460" ht="15.75" customHeight="1">
      <c r="S460" s="3"/>
      <c r="T460" s="3"/>
      <c r="U460" s="3"/>
      <c r="V460" s="4"/>
    </row>
    <row r="461" ht="15.75" customHeight="1">
      <c r="S461" s="3"/>
      <c r="T461" s="3"/>
      <c r="U461" s="3"/>
      <c r="V461" s="4"/>
    </row>
    <row r="462" ht="15.75" customHeight="1">
      <c r="S462" s="3"/>
      <c r="T462" s="3"/>
      <c r="U462" s="3"/>
      <c r="V462" s="4"/>
    </row>
    <row r="463" ht="15.75" customHeight="1">
      <c r="S463" s="3"/>
      <c r="T463" s="3"/>
      <c r="U463" s="3"/>
      <c r="V463" s="4"/>
    </row>
    <row r="464" ht="15.75" customHeight="1">
      <c r="S464" s="3"/>
      <c r="T464" s="3"/>
      <c r="U464" s="3"/>
      <c r="V464" s="4"/>
    </row>
    <row r="465" ht="15.75" customHeight="1">
      <c r="S465" s="3"/>
      <c r="T465" s="3"/>
      <c r="U465" s="3"/>
      <c r="V465" s="4"/>
    </row>
    <row r="466" ht="15.75" customHeight="1">
      <c r="S466" s="3"/>
      <c r="T466" s="3"/>
      <c r="U466" s="3"/>
      <c r="V466" s="4"/>
    </row>
    <row r="467" ht="15.75" customHeight="1">
      <c r="S467" s="3"/>
      <c r="T467" s="3"/>
      <c r="U467" s="3"/>
      <c r="V467" s="4"/>
    </row>
    <row r="468" ht="15.75" customHeight="1">
      <c r="S468" s="3"/>
      <c r="T468" s="3"/>
      <c r="U468" s="3"/>
      <c r="V468" s="4"/>
    </row>
    <row r="469" ht="15.75" customHeight="1">
      <c r="S469" s="3"/>
      <c r="T469" s="3"/>
      <c r="U469" s="3"/>
      <c r="V469" s="4"/>
    </row>
    <row r="470" ht="15.75" customHeight="1">
      <c r="S470" s="3"/>
      <c r="T470" s="3"/>
      <c r="U470" s="3"/>
      <c r="V470" s="4"/>
    </row>
    <row r="471" ht="15.75" customHeight="1">
      <c r="S471" s="3"/>
      <c r="T471" s="3"/>
      <c r="U471" s="3"/>
      <c r="V471" s="4"/>
    </row>
    <row r="472" ht="15.75" customHeight="1">
      <c r="S472" s="3"/>
      <c r="T472" s="3"/>
      <c r="U472" s="3"/>
      <c r="V472" s="4"/>
    </row>
    <row r="473" ht="15.75" customHeight="1">
      <c r="S473" s="3"/>
      <c r="T473" s="3"/>
      <c r="U473" s="3"/>
      <c r="V473" s="4"/>
    </row>
    <row r="474" ht="15.75" customHeight="1">
      <c r="S474" s="3"/>
      <c r="T474" s="3"/>
      <c r="U474" s="3"/>
      <c r="V474" s="4"/>
    </row>
    <row r="475" ht="15.75" customHeight="1">
      <c r="S475" s="3"/>
      <c r="T475" s="3"/>
      <c r="U475" s="3"/>
      <c r="V475" s="4"/>
    </row>
    <row r="476" ht="15.75" customHeight="1">
      <c r="S476" s="3"/>
      <c r="T476" s="3"/>
      <c r="U476" s="3"/>
      <c r="V476" s="4"/>
    </row>
    <row r="477" ht="15.75" customHeight="1">
      <c r="S477" s="3"/>
      <c r="T477" s="3"/>
      <c r="U477" s="3"/>
      <c r="V477" s="4"/>
    </row>
    <row r="478" ht="15.75" customHeight="1">
      <c r="S478" s="3"/>
      <c r="T478" s="3"/>
      <c r="U478" s="3"/>
      <c r="V478" s="4"/>
    </row>
    <row r="479" ht="15.75" customHeight="1">
      <c r="S479" s="3"/>
      <c r="T479" s="3"/>
      <c r="U479" s="3"/>
      <c r="V479" s="4"/>
    </row>
    <row r="480" ht="15.75" customHeight="1">
      <c r="S480" s="3"/>
      <c r="T480" s="3"/>
      <c r="U480" s="3"/>
      <c r="V480" s="4"/>
    </row>
    <row r="481" ht="15.75" customHeight="1">
      <c r="S481" s="3"/>
      <c r="T481" s="3"/>
      <c r="U481" s="3"/>
      <c r="V481" s="4"/>
    </row>
    <row r="482" ht="15.75" customHeight="1">
      <c r="S482" s="3"/>
      <c r="T482" s="3"/>
      <c r="U482" s="3"/>
      <c r="V482" s="4"/>
    </row>
    <row r="483" ht="15.75" customHeight="1">
      <c r="S483" s="3"/>
      <c r="T483" s="3"/>
      <c r="U483" s="3"/>
      <c r="V483" s="4"/>
    </row>
    <row r="484" ht="15.75" customHeight="1">
      <c r="S484" s="3"/>
      <c r="T484" s="3"/>
      <c r="U484" s="3"/>
      <c r="V484" s="4"/>
    </row>
    <row r="485" ht="15.75" customHeight="1">
      <c r="S485" s="3"/>
      <c r="T485" s="3"/>
      <c r="U485" s="3"/>
      <c r="V485" s="4"/>
    </row>
    <row r="486" ht="15.75" customHeight="1">
      <c r="S486" s="3"/>
      <c r="T486" s="3"/>
      <c r="U486" s="3"/>
      <c r="V486" s="4"/>
    </row>
    <row r="487" ht="15.75" customHeight="1">
      <c r="S487" s="3"/>
      <c r="T487" s="3"/>
      <c r="U487" s="3"/>
      <c r="V487" s="4"/>
    </row>
    <row r="488" ht="15.75" customHeight="1">
      <c r="S488" s="3"/>
      <c r="T488" s="3"/>
      <c r="U488" s="3"/>
      <c r="V488" s="4"/>
    </row>
    <row r="489" ht="15.75" customHeight="1">
      <c r="S489" s="3"/>
      <c r="T489" s="3"/>
      <c r="U489" s="3"/>
      <c r="V489" s="4"/>
    </row>
    <row r="490" ht="15.75" customHeight="1">
      <c r="S490" s="3"/>
      <c r="T490" s="3"/>
      <c r="U490" s="3"/>
      <c r="V490" s="4"/>
    </row>
    <row r="491" ht="15.75" customHeight="1">
      <c r="S491" s="3"/>
      <c r="T491" s="3"/>
      <c r="U491" s="3"/>
      <c r="V491" s="4"/>
    </row>
    <row r="492" ht="15.75" customHeight="1">
      <c r="S492" s="3"/>
      <c r="T492" s="3"/>
      <c r="U492" s="3"/>
      <c r="V492" s="4"/>
    </row>
    <row r="493" ht="15.75" customHeight="1">
      <c r="S493" s="3"/>
      <c r="T493" s="3"/>
      <c r="U493" s="3"/>
      <c r="V493" s="4"/>
    </row>
    <row r="494" ht="15.75" customHeight="1">
      <c r="S494" s="3"/>
      <c r="T494" s="3"/>
      <c r="U494" s="3"/>
      <c r="V494" s="4"/>
    </row>
    <row r="495" ht="15.75" customHeight="1">
      <c r="S495" s="3"/>
      <c r="T495" s="3"/>
      <c r="U495" s="3"/>
      <c r="V495" s="4"/>
    </row>
    <row r="496" ht="15.75" customHeight="1">
      <c r="S496" s="3"/>
      <c r="T496" s="3"/>
      <c r="U496" s="3"/>
      <c r="V496" s="4"/>
    </row>
    <row r="497" ht="15.75" customHeight="1">
      <c r="S497" s="3"/>
      <c r="T497" s="3"/>
      <c r="U497" s="3"/>
      <c r="V497" s="4"/>
    </row>
    <row r="498" ht="15.75" customHeight="1">
      <c r="S498" s="3"/>
      <c r="T498" s="3"/>
      <c r="U498" s="3"/>
      <c r="V498" s="4"/>
    </row>
    <row r="499" ht="15.75" customHeight="1">
      <c r="S499" s="3"/>
      <c r="T499" s="3"/>
      <c r="U499" s="3"/>
      <c r="V499" s="4"/>
    </row>
    <row r="500" ht="15.75" customHeight="1">
      <c r="S500" s="3"/>
      <c r="T500" s="3"/>
      <c r="U500" s="3"/>
      <c r="V500" s="4"/>
    </row>
    <row r="501" ht="15.75" customHeight="1">
      <c r="S501" s="3"/>
      <c r="T501" s="3"/>
      <c r="U501" s="3"/>
      <c r="V501" s="4"/>
    </row>
    <row r="502" ht="15.75" customHeight="1">
      <c r="S502" s="3"/>
      <c r="T502" s="3"/>
      <c r="U502" s="3"/>
      <c r="V502" s="4"/>
    </row>
    <row r="503" ht="15.75" customHeight="1">
      <c r="S503" s="3"/>
      <c r="T503" s="3"/>
      <c r="U503" s="3"/>
      <c r="V503" s="4"/>
    </row>
    <row r="504" ht="15.75" customHeight="1">
      <c r="S504" s="3"/>
      <c r="T504" s="3"/>
      <c r="U504" s="3"/>
      <c r="V504" s="4"/>
    </row>
    <row r="505" ht="15.75" customHeight="1">
      <c r="S505" s="3"/>
      <c r="T505" s="3"/>
      <c r="U505" s="3"/>
      <c r="V505" s="4"/>
    </row>
    <row r="506" ht="15.75" customHeight="1">
      <c r="S506" s="3"/>
      <c r="T506" s="3"/>
      <c r="U506" s="3"/>
      <c r="V506" s="4"/>
    </row>
    <row r="507" ht="15.75" customHeight="1">
      <c r="S507" s="3"/>
      <c r="T507" s="3"/>
      <c r="U507" s="3"/>
      <c r="V507" s="4"/>
    </row>
    <row r="508" ht="15.75" customHeight="1">
      <c r="S508" s="3"/>
      <c r="T508" s="3"/>
      <c r="U508" s="3"/>
      <c r="V508" s="4"/>
    </row>
    <row r="509" ht="15.75" customHeight="1">
      <c r="S509" s="3"/>
      <c r="T509" s="3"/>
      <c r="U509" s="3"/>
      <c r="V509" s="4"/>
    </row>
    <row r="510" ht="15.75" customHeight="1">
      <c r="S510" s="3"/>
      <c r="T510" s="3"/>
      <c r="U510" s="3"/>
      <c r="V510" s="4"/>
    </row>
    <row r="511" ht="15.75" customHeight="1">
      <c r="S511" s="3"/>
      <c r="T511" s="3"/>
      <c r="U511" s="3"/>
      <c r="V511" s="4"/>
    </row>
    <row r="512" ht="15.75" customHeight="1">
      <c r="S512" s="3"/>
      <c r="T512" s="3"/>
      <c r="U512" s="3"/>
      <c r="V512" s="4"/>
    </row>
    <row r="513" ht="15.75" customHeight="1">
      <c r="S513" s="3"/>
      <c r="T513" s="3"/>
      <c r="U513" s="3"/>
      <c r="V513" s="4"/>
    </row>
    <row r="514" ht="15.75" customHeight="1">
      <c r="S514" s="3"/>
      <c r="T514" s="3"/>
      <c r="U514" s="3"/>
      <c r="V514" s="4"/>
    </row>
    <row r="515" ht="15.75" customHeight="1">
      <c r="S515" s="3"/>
      <c r="T515" s="3"/>
      <c r="U515" s="3"/>
      <c r="V515" s="4"/>
    </row>
    <row r="516" ht="15.75" customHeight="1">
      <c r="S516" s="3"/>
      <c r="T516" s="3"/>
      <c r="U516" s="3"/>
      <c r="V516" s="4"/>
    </row>
    <row r="517" ht="15.75" customHeight="1">
      <c r="S517" s="3"/>
      <c r="T517" s="3"/>
      <c r="U517" s="3"/>
      <c r="V517" s="4"/>
    </row>
    <row r="518" ht="15.75" customHeight="1">
      <c r="S518" s="3"/>
      <c r="T518" s="3"/>
      <c r="U518" s="3"/>
      <c r="V518" s="4"/>
    </row>
    <row r="519" ht="15.75" customHeight="1">
      <c r="S519" s="3"/>
      <c r="T519" s="3"/>
      <c r="U519" s="3"/>
      <c r="V519" s="4"/>
    </row>
    <row r="520" ht="15.75" customHeight="1">
      <c r="S520" s="3"/>
      <c r="T520" s="3"/>
      <c r="U520" s="3"/>
      <c r="V520" s="4"/>
    </row>
    <row r="521" ht="15.75" customHeight="1">
      <c r="S521" s="3"/>
      <c r="T521" s="3"/>
      <c r="U521" s="3"/>
      <c r="V521" s="4"/>
    </row>
    <row r="522" ht="15.75" customHeight="1">
      <c r="S522" s="3"/>
      <c r="T522" s="3"/>
      <c r="U522" s="3"/>
      <c r="V522" s="4"/>
    </row>
    <row r="523" ht="15.75" customHeight="1">
      <c r="S523" s="3"/>
      <c r="T523" s="3"/>
      <c r="U523" s="3"/>
      <c r="V523" s="4"/>
    </row>
    <row r="524" ht="15.75" customHeight="1">
      <c r="S524" s="3"/>
      <c r="T524" s="3"/>
      <c r="U524" s="3"/>
      <c r="V524" s="4"/>
    </row>
    <row r="525" ht="15.75" customHeight="1">
      <c r="S525" s="3"/>
      <c r="T525" s="3"/>
      <c r="U525" s="3"/>
      <c r="V525" s="4"/>
    </row>
    <row r="526" ht="15.75" customHeight="1">
      <c r="S526" s="3"/>
      <c r="T526" s="3"/>
      <c r="U526" s="3"/>
      <c r="V526" s="4"/>
    </row>
    <row r="527" ht="15.75" customHeight="1">
      <c r="S527" s="3"/>
      <c r="T527" s="3"/>
      <c r="U527" s="3"/>
      <c r="V527" s="4"/>
    </row>
    <row r="528" ht="15.75" customHeight="1">
      <c r="S528" s="3"/>
      <c r="T528" s="3"/>
      <c r="U528" s="3"/>
      <c r="V528" s="4"/>
    </row>
    <row r="529" ht="15.75" customHeight="1">
      <c r="S529" s="3"/>
      <c r="T529" s="3"/>
      <c r="U529" s="3"/>
      <c r="V529" s="4"/>
    </row>
    <row r="530" ht="15.75" customHeight="1">
      <c r="S530" s="3"/>
      <c r="T530" s="3"/>
      <c r="U530" s="3"/>
      <c r="V530" s="4"/>
    </row>
    <row r="531" ht="15.75" customHeight="1">
      <c r="S531" s="3"/>
      <c r="T531" s="3"/>
      <c r="U531" s="3"/>
      <c r="V531" s="4"/>
    </row>
    <row r="532" ht="15.75" customHeight="1">
      <c r="S532" s="3"/>
      <c r="T532" s="3"/>
      <c r="U532" s="3"/>
      <c r="V532" s="4"/>
    </row>
    <row r="533" ht="15.75" customHeight="1">
      <c r="S533" s="3"/>
      <c r="T533" s="3"/>
      <c r="U533" s="3"/>
      <c r="V533" s="4"/>
    </row>
    <row r="534" ht="15.75" customHeight="1">
      <c r="S534" s="3"/>
      <c r="T534" s="3"/>
      <c r="U534" s="3"/>
      <c r="V534" s="4"/>
    </row>
    <row r="535" ht="15.75" customHeight="1">
      <c r="S535" s="3"/>
      <c r="T535" s="3"/>
      <c r="U535" s="3"/>
      <c r="V535" s="4"/>
    </row>
    <row r="536" ht="15.75" customHeight="1">
      <c r="S536" s="3"/>
      <c r="T536" s="3"/>
      <c r="U536" s="3"/>
      <c r="V536" s="4"/>
    </row>
    <row r="537" ht="15.75" customHeight="1">
      <c r="S537" s="3"/>
      <c r="T537" s="3"/>
      <c r="U537" s="3"/>
      <c r="V537" s="4"/>
    </row>
    <row r="538" ht="15.75" customHeight="1">
      <c r="S538" s="3"/>
      <c r="T538" s="3"/>
      <c r="U538" s="3"/>
      <c r="V538" s="4"/>
    </row>
    <row r="539" ht="15.75" customHeight="1">
      <c r="S539" s="3"/>
      <c r="T539" s="3"/>
      <c r="U539" s="3"/>
      <c r="V539" s="4"/>
    </row>
    <row r="540" ht="15.75" customHeight="1">
      <c r="S540" s="3"/>
      <c r="T540" s="3"/>
      <c r="U540" s="3"/>
      <c r="V540" s="4"/>
    </row>
    <row r="541" ht="15.75" customHeight="1">
      <c r="S541" s="3"/>
      <c r="T541" s="3"/>
      <c r="U541" s="3"/>
      <c r="V541" s="4"/>
    </row>
    <row r="542" ht="15.75" customHeight="1">
      <c r="S542" s="3"/>
      <c r="T542" s="3"/>
      <c r="U542" s="3"/>
      <c r="V542" s="4"/>
    </row>
    <row r="543" ht="15.75" customHeight="1">
      <c r="S543" s="3"/>
      <c r="T543" s="3"/>
      <c r="U543" s="3"/>
      <c r="V543" s="4"/>
    </row>
    <row r="544" ht="15.75" customHeight="1">
      <c r="S544" s="3"/>
      <c r="T544" s="3"/>
      <c r="U544" s="3"/>
      <c r="V544" s="4"/>
    </row>
    <row r="545" ht="15.75" customHeight="1">
      <c r="S545" s="3"/>
      <c r="T545" s="3"/>
      <c r="U545" s="3"/>
      <c r="V545" s="4"/>
    </row>
    <row r="546" ht="15.75" customHeight="1">
      <c r="S546" s="3"/>
      <c r="T546" s="3"/>
      <c r="U546" s="3"/>
      <c r="V546" s="4"/>
    </row>
    <row r="547" ht="15.75" customHeight="1">
      <c r="S547" s="3"/>
      <c r="T547" s="3"/>
      <c r="U547" s="3"/>
      <c r="V547" s="4"/>
    </row>
    <row r="548" ht="15.75" customHeight="1">
      <c r="S548" s="3"/>
      <c r="T548" s="3"/>
      <c r="U548" s="3"/>
      <c r="V548" s="4"/>
    </row>
    <row r="549" ht="15.75" customHeight="1">
      <c r="S549" s="3"/>
      <c r="T549" s="3"/>
      <c r="U549" s="3"/>
      <c r="V549" s="4"/>
    </row>
    <row r="550" ht="15.75" customHeight="1">
      <c r="S550" s="3"/>
      <c r="T550" s="3"/>
      <c r="U550" s="3"/>
      <c r="V550" s="4"/>
    </row>
    <row r="551" ht="15.75" customHeight="1">
      <c r="S551" s="3"/>
      <c r="T551" s="3"/>
      <c r="U551" s="3"/>
      <c r="V551" s="4"/>
    </row>
    <row r="552" ht="15.75" customHeight="1">
      <c r="S552" s="3"/>
      <c r="T552" s="3"/>
      <c r="U552" s="3"/>
      <c r="V552" s="4"/>
    </row>
    <row r="553" ht="15.75" customHeight="1">
      <c r="S553" s="3"/>
      <c r="T553" s="3"/>
      <c r="U553" s="3"/>
      <c r="V553" s="4"/>
    </row>
    <row r="554" ht="15.75" customHeight="1">
      <c r="S554" s="3"/>
      <c r="T554" s="3"/>
      <c r="U554" s="3"/>
      <c r="V554" s="4"/>
    </row>
    <row r="555" ht="15.75" customHeight="1">
      <c r="S555" s="3"/>
      <c r="T555" s="3"/>
      <c r="U555" s="3"/>
      <c r="V555" s="4"/>
    </row>
    <row r="556" ht="15.75" customHeight="1">
      <c r="S556" s="3"/>
      <c r="T556" s="3"/>
      <c r="U556" s="3"/>
      <c r="V556" s="4"/>
    </row>
    <row r="557" ht="15.75" customHeight="1">
      <c r="S557" s="3"/>
      <c r="T557" s="3"/>
      <c r="U557" s="3"/>
      <c r="V557" s="4"/>
    </row>
    <row r="558" ht="15.75" customHeight="1">
      <c r="S558" s="3"/>
      <c r="T558" s="3"/>
      <c r="U558" s="3"/>
      <c r="V558" s="4"/>
    </row>
    <row r="559" ht="15.75" customHeight="1">
      <c r="S559" s="3"/>
      <c r="T559" s="3"/>
      <c r="U559" s="3"/>
      <c r="V559" s="4"/>
    </row>
    <row r="560" ht="15.75" customHeight="1">
      <c r="S560" s="3"/>
      <c r="T560" s="3"/>
      <c r="U560" s="3"/>
      <c r="V560" s="4"/>
    </row>
    <row r="561" ht="15.75" customHeight="1">
      <c r="S561" s="3"/>
      <c r="T561" s="3"/>
      <c r="U561" s="3"/>
      <c r="V561" s="4"/>
    </row>
    <row r="562" ht="15.75" customHeight="1">
      <c r="S562" s="3"/>
      <c r="T562" s="3"/>
      <c r="U562" s="3"/>
      <c r="V562" s="4"/>
    </row>
    <row r="563" ht="15.75" customHeight="1">
      <c r="S563" s="3"/>
      <c r="T563" s="3"/>
      <c r="U563" s="3"/>
      <c r="V563" s="4"/>
    </row>
    <row r="564" ht="15.75" customHeight="1">
      <c r="S564" s="3"/>
      <c r="T564" s="3"/>
      <c r="U564" s="3"/>
      <c r="V564" s="4"/>
    </row>
    <row r="565" ht="15.75" customHeight="1">
      <c r="S565" s="3"/>
      <c r="T565" s="3"/>
      <c r="U565" s="3"/>
      <c r="V565" s="4"/>
    </row>
    <row r="566" ht="15.75" customHeight="1">
      <c r="S566" s="3"/>
      <c r="T566" s="3"/>
      <c r="U566" s="3"/>
      <c r="V566" s="4"/>
    </row>
    <row r="567" ht="15.75" customHeight="1">
      <c r="S567" s="3"/>
      <c r="T567" s="3"/>
      <c r="U567" s="3"/>
      <c r="V567" s="4"/>
    </row>
    <row r="568" ht="15.75" customHeight="1">
      <c r="S568" s="3"/>
      <c r="T568" s="3"/>
      <c r="U568" s="3"/>
      <c r="V568" s="4"/>
    </row>
    <row r="569" ht="15.75" customHeight="1">
      <c r="S569" s="3"/>
      <c r="T569" s="3"/>
      <c r="U569" s="3"/>
      <c r="V569" s="4"/>
    </row>
    <row r="570" ht="15.75" customHeight="1">
      <c r="S570" s="3"/>
      <c r="T570" s="3"/>
      <c r="U570" s="3"/>
      <c r="V570" s="4"/>
    </row>
    <row r="571" ht="15.75" customHeight="1">
      <c r="S571" s="3"/>
      <c r="T571" s="3"/>
      <c r="U571" s="3"/>
      <c r="V571" s="4"/>
    </row>
    <row r="572" ht="15.75" customHeight="1">
      <c r="S572" s="3"/>
      <c r="T572" s="3"/>
      <c r="U572" s="3"/>
      <c r="V572" s="4"/>
    </row>
    <row r="573" ht="15.75" customHeight="1">
      <c r="S573" s="3"/>
      <c r="T573" s="3"/>
      <c r="U573" s="3"/>
      <c r="V573" s="4"/>
    </row>
    <row r="574" ht="15.75" customHeight="1">
      <c r="S574" s="3"/>
      <c r="T574" s="3"/>
      <c r="U574" s="3"/>
      <c r="V574" s="4"/>
    </row>
    <row r="575" ht="15.75" customHeight="1">
      <c r="S575" s="3"/>
      <c r="T575" s="3"/>
      <c r="U575" s="3"/>
      <c r="V575" s="4"/>
    </row>
    <row r="576" ht="15.75" customHeight="1">
      <c r="S576" s="3"/>
      <c r="T576" s="3"/>
      <c r="U576" s="3"/>
      <c r="V576" s="4"/>
    </row>
    <row r="577" ht="15.75" customHeight="1">
      <c r="S577" s="3"/>
      <c r="T577" s="3"/>
      <c r="U577" s="3"/>
      <c r="V577" s="4"/>
    </row>
    <row r="578" ht="15.75" customHeight="1">
      <c r="S578" s="3"/>
      <c r="T578" s="3"/>
      <c r="U578" s="3"/>
      <c r="V578" s="4"/>
    </row>
    <row r="579" ht="15.75" customHeight="1">
      <c r="S579" s="3"/>
      <c r="T579" s="3"/>
      <c r="U579" s="3"/>
      <c r="V579" s="4"/>
    </row>
    <row r="580" ht="15.75" customHeight="1">
      <c r="S580" s="3"/>
      <c r="T580" s="3"/>
      <c r="U580" s="3"/>
      <c r="V580" s="4"/>
    </row>
    <row r="581" ht="15.75" customHeight="1">
      <c r="S581" s="3"/>
      <c r="T581" s="3"/>
      <c r="U581" s="3"/>
      <c r="V581" s="4"/>
    </row>
    <row r="582" ht="15.75" customHeight="1">
      <c r="S582" s="3"/>
      <c r="T582" s="3"/>
      <c r="U582" s="3"/>
      <c r="V582" s="4"/>
    </row>
    <row r="583" ht="15.75" customHeight="1">
      <c r="S583" s="3"/>
      <c r="T583" s="3"/>
      <c r="U583" s="3"/>
      <c r="V583" s="4"/>
    </row>
    <row r="584" ht="15.75" customHeight="1">
      <c r="S584" s="3"/>
      <c r="T584" s="3"/>
      <c r="U584" s="3"/>
      <c r="V584" s="4"/>
    </row>
    <row r="585" ht="15.75" customHeight="1">
      <c r="S585" s="3"/>
      <c r="T585" s="3"/>
      <c r="U585" s="3"/>
      <c r="V585" s="4"/>
    </row>
    <row r="586" ht="15.75" customHeight="1">
      <c r="S586" s="3"/>
      <c r="T586" s="3"/>
      <c r="U586" s="3"/>
      <c r="V586" s="4"/>
    </row>
    <row r="587" ht="15.75" customHeight="1">
      <c r="S587" s="3"/>
      <c r="T587" s="3"/>
      <c r="U587" s="3"/>
      <c r="V587" s="4"/>
    </row>
    <row r="588" ht="15.75" customHeight="1">
      <c r="S588" s="3"/>
      <c r="T588" s="3"/>
      <c r="U588" s="3"/>
      <c r="V588" s="4"/>
    </row>
    <row r="589" ht="15.75" customHeight="1">
      <c r="S589" s="3"/>
      <c r="T589" s="3"/>
      <c r="U589" s="3"/>
      <c r="V589" s="4"/>
    </row>
    <row r="590" ht="15.75" customHeight="1">
      <c r="S590" s="3"/>
      <c r="T590" s="3"/>
      <c r="U590" s="3"/>
      <c r="V590" s="4"/>
    </row>
    <row r="591" ht="15.75" customHeight="1">
      <c r="S591" s="3"/>
      <c r="T591" s="3"/>
      <c r="U591" s="3"/>
      <c r="V591" s="4"/>
    </row>
    <row r="592" ht="15.75" customHeight="1">
      <c r="S592" s="3"/>
      <c r="T592" s="3"/>
      <c r="U592" s="3"/>
      <c r="V592" s="4"/>
    </row>
    <row r="593" ht="15.75" customHeight="1">
      <c r="S593" s="3"/>
      <c r="T593" s="3"/>
      <c r="U593" s="3"/>
      <c r="V593" s="4"/>
    </row>
    <row r="594" ht="15.75" customHeight="1">
      <c r="S594" s="3"/>
      <c r="T594" s="3"/>
      <c r="U594" s="3"/>
      <c r="V594" s="4"/>
    </row>
    <row r="595" ht="15.75" customHeight="1">
      <c r="S595" s="3"/>
      <c r="T595" s="3"/>
      <c r="U595" s="3"/>
      <c r="V595" s="4"/>
    </row>
    <row r="596" ht="15.75" customHeight="1">
      <c r="S596" s="3"/>
      <c r="T596" s="3"/>
      <c r="U596" s="3"/>
      <c r="V596" s="4"/>
    </row>
    <row r="597" ht="15.75" customHeight="1">
      <c r="S597" s="3"/>
      <c r="T597" s="3"/>
      <c r="U597" s="3"/>
      <c r="V597" s="4"/>
    </row>
    <row r="598" ht="15.75" customHeight="1">
      <c r="S598" s="3"/>
      <c r="T598" s="3"/>
      <c r="U598" s="3"/>
      <c r="V598" s="4"/>
    </row>
    <row r="599" ht="15.75" customHeight="1">
      <c r="S599" s="3"/>
      <c r="T599" s="3"/>
      <c r="U599" s="3"/>
      <c r="V599" s="4"/>
    </row>
    <row r="600" ht="15.75" customHeight="1">
      <c r="S600" s="3"/>
      <c r="T600" s="3"/>
      <c r="U600" s="3"/>
      <c r="V600" s="4"/>
    </row>
    <row r="601" ht="15.75" customHeight="1">
      <c r="S601" s="3"/>
      <c r="T601" s="3"/>
      <c r="U601" s="3"/>
      <c r="V601" s="4"/>
    </row>
    <row r="602" ht="15.75" customHeight="1">
      <c r="S602" s="3"/>
      <c r="T602" s="3"/>
      <c r="U602" s="3"/>
      <c r="V602" s="4"/>
    </row>
    <row r="603" ht="15.75" customHeight="1">
      <c r="S603" s="3"/>
      <c r="T603" s="3"/>
      <c r="U603" s="3"/>
      <c r="V603" s="4"/>
    </row>
    <row r="604" ht="15.75" customHeight="1">
      <c r="S604" s="3"/>
      <c r="T604" s="3"/>
      <c r="U604" s="3"/>
      <c r="V604" s="4"/>
    </row>
    <row r="605" ht="15.75" customHeight="1">
      <c r="S605" s="3"/>
      <c r="T605" s="3"/>
      <c r="U605" s="3"/>
      <c r="V605" s="4"/>
    </row>
    <row r="606" ht="15.75" customHeight="1">
      <c r="S606" s="3"/>
      <c r="T606" s="3"/>
      <c r="U606" s="3"/>
      <c r="V606" s="4"/>
    </row>
    <row r="607" ht="15.75" customHeight="1">
      <c r="S607" s="3"/>
      <c r="T607" s="3"/>
      <c r="U607" s="3"/>
      <c r="V607" s="4"/>
    </row>
    <row r="608" ht="15.75" customHeight="1">
      <c r="S608" s="3"/>
      <c r="T608" s="3"/>
      <c r="U608" s="3"/>
      <c r="V608" s="4"/>
    </row>
    <row r="609" ht="15.75" customHeight="1">
      <c r="S609" s="3"/>
      <c r="T609" s="3"/>
      <c r="U609" s="3"/>
      <c r="V609" s="4"/>
    </row>
    <row r="610" ht="15.75" customHeight="1">
      <c r="S610" s="3"/>
      <c r="T610" s="3"/>
      <c r="U610" s="3"/>
      <c r="V610" s="4"/>
    </row>
    <row r="611" ht="15.75" customHeight="1">
      <c r="S611" s="3"/>
      <c r="T611" s="3"/>
      <c r="U611" s="3"/>
      <c r="V611" s="4"/>
    </row>
    <row r="612" ht="15.75" customHeight="1">
      <c r="S612" s="3"/>
      <c r="T612" s="3"/>
      <c r="U612" s="3"/>
      <c r="V612" s="4"/>
    </row>
    <row r="613" ht="15.75" customHeight="1">
      <c r="S613" s="3"/>
      <c r="T613" s="3"/>
      <c r="U613" s="3"/>
      <c r="V613" s="4"/>
    </row>
    <row r="614" ht="15.75" customHeight="1">
      <c r="S614" s="3"/>
      <c r="T614" s="3"/>
      <c r="U614" s="3"/>
      <c r="V614" s="4"/>
    </row>
    <row r="615" ht="15.75" customHeight="1">
      <c r="S615" s="3"/>
      <c r="T615" s="3"/>
      <c r="U615" s="3"/>
      <c r="V615" s="4"/>
    </row>
    <row r="616" ht="15.75" customHeight="1">
      <c r="S616" s="3"/>
      <c r="T616" s="3"/>
      <c r="U616" s="3"/>
      <c r="V616" s="4"/>
    </row>
    <row r="617" ht="15.75" customHeight="1">
      <c r="S617" s="3"/>
      <c r="T617" s="3"/>
      <c r="U617" s="3"/>
      <c r="V617" s="4"/>
    </row>
    <row r="618" ht="15.75" customHeight="1">
      <c r="S618" s="3"/>
      <c r="T618" s="3"/>
      <c r="U618" s="3"/>
      <c r="V618" s="4"/>
    </row>
    <row r="619" ht="15.75" customHeight="1">
      <c r="S619" s="3"/>
      <c r="T619" s="3"/>
      <c r="U619" s="3"/>
      <c r="V619" s="4"/>
    </row>
    <row r="620" ht="15.75" customHeight="1">
      <c r="S620" s="3"/>
      <c r="T620" s="3"/>
      <c r="U620" s="3"/>
      <c r="V620" s="4"/>
    </row>
    <row r="621" ht="15.75" customHeight="1">
      <c r="S621" s="3"/>
      <c r="T621" s="3"/>
      <c r="U621" s="3"/>
      <c r="V621" s="4"/>
    </row>
    <row r="622" ht="15.75" customHeight="1">
      <c r="S622" s="3"/>
      <c r="T622" s="3"/>
      <c r="U622" s="3"/>
      <c r="V622" s="4"/>
    </row>
    <row r="623" ht="15.75" customHeight="1">
      <c r="S623" s="3"/>
      <c r="T623" s="3"/>
      <c r="U623" s="3"/>
      <c r="V623" s="4"/>
    </row>
    <row r="624" ht="15.75" customHeight="1">
      <c r="S624" s="3"/>
      <c r="T624" s="3"/>
      <c r="U624" s="3"/>
      <c r="V624" s="4"/>
    </row>
    <row r="625" ht="15.75" customHeight="1">
      <c r="S625" s="3"/>
      <c r="T625" s="3"/>
      <c r="U625" s="3"/>
      <c r="V625" s="4"/>
    </row>
    <row r="626" ht="15.75" customHeight="1">
      <c r="S626" s="3"/>
      <c r="T626" s="3"/>
      <c r="U626" s="3"/>
      <c r="V626" s="4"/>
    </row>
    <row r="627" ht="15.75" customHeight="1">
      <c r="S627" s="3"/>
      <c r="T627" s="3"/>
      <c r="U627" s="3"/>
      <c r="V627" s="4"/>
    </row>
    <row r="628" ht="15.75" customHeight="1">
      <c r="S628" s="3"/>
      <c r="T628" s="3"/>
      <c r="U628" s="3"/>
      <c r="V628" s="4"/>
    </row>
    <row r="629" ht="15.75" customHeight="1">
      <c r="S629" s="3"/>
      <c r="T629" s="3"/>
      <c r="U629" s="3"/>
      <c r="V629" s="4"/>
    </row>
    <row r="630" ht="15.75" customHeight="1">
      <c r="S630" s="3"/>
      <c r="T630" s="3"/>
      <c r="U630" s="3"/>
      <c r="V630" s="4"/>
    </row>
    <row r="631" ht="15.75" customHeight="1">
      <c r="S631" s="3"/>
      <c r="T631" s="3"/>
      <c r="U631" s="3"/>
      <c r="V631" s="4"/>
    </row>
    <row r="632" ht="15.75" customHeight="1">
      <c r="S632" s="3"/>
      <c r="T632" s="3"/>
      <c r="U632" s="3"/>
      <c r="V632" s="4"/>
    </row>
    <row r="633" ht="15.75" customHeight="1">
      <c r="S633" s="3"/>
      <c r="T633" s="3"/>
      <c r="U633" s="3"/>
      <c r="V633" s="4"/>
    </row>
    <row r="634" ht="15.75" customHeight="1">
      <c r="S634" s="3"/>
      <c r="T634" s="3"/>
      <c r="U634" s="3"/>
      <c r="V634" s="4"/>
    </row>
    <row r="635" ht="15.75" customHeight="1">
      <c r="S635" s="3"/>
      <c r="T635" s="3"/>
      <c r="U635" s="3"/>
      <c r="V635" s="4"/>
    </row>
    <row r="636" ht="15.75" customHeight="1">
      <c r="S636" s="3"/>
      <c r="T636" s="3"/>
      <c r="U636" s="3"/>
      <c r="V636" s="4"/>
    </row>
    <row r="637" ht="15.75" customHeight="1">
      <c r="S637" s="3"/>
      <c r="T637" s="3"/>
      <c r="U637" s="3"/>
      <c r="V637" s="4"/>
    </row>
    <row r="638" ht="15.75" customHeight="1">
      <c r="S638" s="3"/>
      <c r="T638" s="3"/>
      <c r="U638" s="3"/>
      <c r="V638" s="4"/>
    </row>
    <row r="639" ht="15.75" customHeight="1">
      <c r="S639" s="3"/>
      <c r="T639" s="3"/>
      <c r="U639" s="3"/>
      <c r="V639" s="4"/>
    </row>
    <row r="640" ht="15.75" customHeight="1">
      <c r="S640" s="3"/>
      <c r="T640" s="3"/>
      <c r="U640" s="3"/>
      <c r="V640" s="4"/>
    </row>
    <row r="641" ht="15.75" customHeight="1">
      <c r="S641" s="3"/>
      <c r="T641" s="3"/>
      <c r="U641" s="3"/>
      <c r="V641" s="4"/>
    </row>
    <row r="642" ht="15.75" customHeight="1">
      <c r="S642" s="3"/>
      <c r="T642" s="3"/>
      <c r="U642" s="3"/>
      <c r="V642" s="4"/>
    </row>
    <row r="643" ht="15.75" customHeight="1">
      <c r="S643" s="3"/>
      <c r="T643" s="3"/>
      <c r="U643" s="3"/>
      <c r="V643" s="4"/>
    </row>
    <row r="644" ht="15.75" customHeight="1">
      <c r="S644" s="3"/>
      <c r="T644" s="3"/>
      <c r="U644" s="3"/>
      <c r="V644" s="4"/>
    </row>
    <row r="645" ht="15.75" customHeight="1">
      <c r="S645" s="3"/>
      <c r="T645" s="3"/>
      <c r="U645" s="3"/>
      <c r="V645" s="4"/>
    </row>
    <row r="646" ht="15.75" customHeight="1">
      <c r="S646" s="3"/>
      <c r="T646" s="3"/>
      <c r="U646" s="3"/>
      <c r="V646" s="4"/>
    </row>
    <row r="647" ht="15.75" customHeight="1">
      <c r="S647" s="3"/>
      <c r="T647" s="3"/>
      <c r="U647" s="3"/>
      <c r="V647" s="4"/>
    </row>
    <row r="648" ht="15.75" customHeight="1">
      <c r="S648" s="3"/>
      <c r="T648" s="3"/>
      <c r="U648" s="3"/>
      <c r="V648" s="4"/>
    </row>
    <row r="649" ht="15.75" customHeight="1">
      <c r="S649" s="3"/>
      <c r="T649" s="3"/>
      <c r="U649" s="3"/>
      <c r="V649" s="4"/>
    </row>
    <row r="650" ht="15.75" customHeight="1">
      <c r="S650" s="3"/>
      <c r="T650" s="3"/>
      <c r="U650" s="3"/>
      <c r="V650" s="4"/>
    </row>
    <row r="651" ht="15.75" customHeight="1">
      <c r="S651" s="3"/>
      <c r="T651" s="3"/>
      <c r="U651" s="3"/>
      <c r="V651" s="4"/>
    </row>
    <row r="652" ht="15.75" customHeight="1">
      <c r="S652" s="3"/>
      <c r="T652" s="3"/>
      <c r="U652" s="3"/>
      <c r="V652" s="4"/>
    </row>
    <row r="653" ht="15.75" customHeight="1">
      <c r="S653" s="3"/>
      <c r="T653" s="3"/>
      <c r="U653" s="3"/>
      <c r="V653" s="4"/>
    </row>
    <row r="654" ht="15.75" customHeight="1">
      <c r="S654" s="3"/>
      <c r="T654" s="3"/>
      <c r="U654" s="3"/>
      <c r="V654" s="4"/>
    </row>
    <row r="655" ht="15.75" customHeight="1">
      <c r="S655" s="3"/>
      <c r="T655" s="3"/>
      <c r="U655" s="3"/>
      <c r="V655" s="4"/>
    </row>
    <row r="656" ht="15.75" customHeight="1">
      <c r="S656" s="3"/>
      <c r="T656" s="3"/>
      <c r="U656" s="3"/>
      <c r="V656" s="4"/>
    </row>
    <row r="657" ht="15.75" customHeight="1">
      <c r="S657" s="3"/>
      <c r="T657" s="3"/>
      <c r="U657" s="3"/>
      <c r="V657" s="4"/>
    </row>
    <row r="658" ht="15.75" customHeight="1">
      <c r="S658" s="3"/>
      <c r="T658" s="3"/>
      <c r="U658" s="3"/>
      <c r="V658" s="4"/>
    </row>
    <row r="659" ht="15.75" customHeight="1">
      <c r="S659" s="3"/>
      <c r="T659" s="3"/>
      <c r="U659" s="3"/>
      <c r="V659" s="4"/>
    </row>
    <row r="660" ht="15.75" customHeight="1">
      <c r="S660" s="3"/>
      <c r="T660" s="3"/>
      <c r="U660" s="3"/>
      <c r="V660" s="4"/>
    </row>
    <row r="661" ht="15.75" customHeight="1">
      <c r="S661" s="3"/>
      <c r="T661" s="3"/>
      <c r="U661" s="3"/>
      <c r="V661" s="4"/>
    </row>
    <row r="662" ht="15.75" customHeight="1">
      <c r="S662" s="3"/>
      <c r="T662" s="3"/>
      <c r="U662" s="3"/>
      <c r="V662" s="4"/>
    </row>
    <row r="663" ht="15.75" customHeight="1">
      <c r="S663" s="3"/>
      <c r="T663" s="3"/>
      <c r="U663" s="3"/>
      <c r="V663" s="4"/>
    </row>
    <row r="664" ht="15.75" customHeight="1">
      <c r="S664" s="3"/>
      <c r="T664" s="3"/>
      <c r="U664" s="3"/>
      <c r="V664" s="4"/>
    </row>
    <row r="665" ht="15.75" customHeight="1">
      <c r="S665" s="3"/>
      <c r="T665" s="3"/>
      <c r="U665" s="3"/>
      <c r="V665" s="4"/>
    </row>
    <row r="666" ht="15.75" customHeight="1">
      <c r="S666" s="3"/>
      <c r="T666" s="3"/>
      <c r="U666" s="3"/>
      <c r="V666" s="4"/>
    </row>
    <row r="667" ht="15.75" customHeight="1">
      <c r="S667" s="3"/>
      <c r="T667" s="3"/>
      <c r="U667" s="3"/>
      <c r="V667" s="4"/>
    </row>
    <row r="668" ht="15.75" customHeight="1">
      <c r="S668" s="3"/>
      <c r="T668" s="3"/>
      <c r="U668" s="3"/>
      <c r="V668" s="4"/>
    </row>
    <row r="669" ht="15.75" customHeight="1">
      <c r="S669" s="3"/>
      <c r="T669" s="3"/>
      <c r="U669" s="3"/>
      <c r="V669" s="4"/>
    </row>
    <row r="670" ht="15.75" customHeight="1">
      <c r="S670" s="3"/>
      <c r="T670" s="3"/>
      <c r="U670" s="3"/>
      <c r="V670" s="4"/>
    </row>
    <row r="671" ht="15.75" customHeight="1">
      <c r="S671" s="3"/>
      <c r="T671" s="3"/>
      <c r="U671" s="3"/>
      <c r="V671" s="4"/>
    </row>
    <row r="672" ht="15.75" customHeight="1">
      <c r="S672" s="3"/>
      <c r="T672" s="3"/>
      <c r="U672" s="3"/>
      <c r="V672" s="4"/>
    </row>
    <row r="673" ht="15.75" customHeight="1">
      <c r="S673" s="3"/>
      <c r="T673" s="3"/>
      <c r="U673" s="3"/>
      <c r="V673" s="4"/>
    </row>
    <row r="674" ht="15.75" customHeight="1">
      <c r="S674" s="3"/>
      <c r="T674" s="3"/>
      <c r="U674" s="3"/>
      <c r="V674" s="4"/>
    </row>
    <row r="675" ht="15.75" customHeight="1">
      <c r="S675" s="3"/>
      <c r="T675" s="3"/>
      <c r="U675" s="3"/>
      <c r="V675" s="4"/>
    </row>
    <row r="676" ht="15.75" customHeight="1">
      <c r="S676" s="3"/>
      <c r="T676" s="3"/>
      <c r="U676" s="3"/>
      <c r="V676" s="4"/>
    </row>
    <row r="677" ht="15.75" customHeight="1">
      <c r="S677" s="3"/>
      <c r="T677" s="3"/>
      <c r="U677" s="3"/>
      <c r="V677" s="4"/>
    </row>
    <row r="678" ht="15.75" customHeight="1">
      <c r="S678" s="3"/>
      <c r="T678" s="3"/>
      <c r="U678" s="3"/>
      <c r="V678" s="4"/>
    </row>
    <row r="679" ht="15.75" customHeight="1">
      <c r="S679" s="3"/>
      <c r="T679" s="3"/>
      <c r="U679" s="3"/>
      <c r="V679" s="4"/>
    </row>
    <row r="680" ht="15.75" customHeight="1">
      <c r="S680" s="3"/>
      <c r="T680" s="3"/>
      <c r="U680" s="3"/>
      <c r="V680" s="4"/>
    </row>
    <row r="681" ht="15.75" customHeight="1">
      <c r="S681" s="3"/>
      <c r="T681" s="3"/>
      <c r="U681" s="3"/>
      <c r="V681" s="4"/>
    </row>
    <row r="682" ht="15.75" customHeight="1">
      <c r="S682" s="3"/>
      <c r="T682" s="3"/>
      <c r="U682" s="3"/>
      <c r="V682" s="4"/>
    </row>
    <row r="683" ht="15.75" customHeight="1">
      <c r="S683" s="3"/>
      <c r="T683" s="3"/>
      <c r="U683" s="3"/>
      <c r="V683" s="4"/>
    </row>
    <row r="684" ht="15.75" customHeight="1">
      <c r="S684" s="3"/>
      <c r="T684" s="3"/>
      <c r="U684" s="3"/>
      <c r="V684" s="4"/>
    </row>
    <row r="685" ht="15.75" customHeight="1">
      <c r="S685" s="3"/>
      <c r="T685" s="3"/>
      <c r="U685" s="3"/>
      <c r="V685" s="4"/>
    </row>
    <row r="686" ht="15.75" customHeight="1">
      <c r="S686" s="3"/>
      <c r="T686" s="3"/>
      <c r="U686" s="3"/>
      <c r="V686" s="4"/>
    </row>
    <row r="687" ht="15.75" customHeight="1">
      <c r="S687" s="3"/>
      <c r="T687" s="3"/>
      <c r="U687" s="3"/>
      <c r="V687" s="4"/>
    </row>
    <row r="688" ht="15.75" customHeight="1">
      <c r="S688" s="3"/>
      <c r="T688" s="3"/>
      <c r="U688" s="3"/>
      <c r="V688" s="4"/>
    </row>
    <row r="689" ht="15.75" customHeight="1">
      <c r="S689" s="3"/>
      <c r="T689" s="3"/>
      <c r="U689" s="3"/>
      <c r="V689" s="4"/>
    </row>
    <row r="690" ht="15.75" customHeight="1">
      <c r="S690" s="3"/>
      <c r="T690" s="3"/>
      <c r="U690" s="3"/>
      <c r="V690" s="4"/>
    </row>
    <row r="691" ht="15.75" customHeight="1">
      <c r="S691" s="3"/>
      <c r="T691" s="3"/>
      <c r="U691" s="3"/>
      <c r="V691" s="4"/>
    </row>
    <row r="692" ht="15.75" customHeight="1">
      <c r="S692" s="3"/>
      <c r="T692" s="3"/>
      <c r="U692" s="3"/>
      <c r="V692" s="4"/>
    </row>
    <row r="693" ht="15.75" customHeight="1">
      <c r="S693" s="3"/>
      <c r="T693" s="3"/>
      <c r="U693" s="3"/>
      <c r="V693" s="4"/>
    </row>
    <row r="694" ht="15.75" customHeight="1">
      <c r="S694" s="3"/>
      <c r="T694" s="3"/>
      <c r="U694" s="3"/>
      <c r="V694" s="4"/>
    </row>
    <row r="695" ht="15.75" customHeight="1">
      <c r="S695" s="3"/>
      <c r="T695" s="3"/>
      <c r="U695" s="3"/>
      <c r="V695" s="4"/>
    </row>
    <row r="696" ht="15.75" customHeight="1">
      <c r="S696" s="3"/>
      <c r="T696" s="3"/>
      <c r="U696" s="3"/>
      <c r="V696" s="4"/>
    </row>
    <row r="697" ht="15.75" customHeight="1">
      <c r="S697" s="3"/>
      <c r="T697" s="3"/>
      <c r="U697" s="3"/>
      <c r="V697" s="4"/>
    </row>
    <row r="698" ht="15.75" customHeight="1">
      <c r="S698" s="3"/>
      <c r="T698" s="3"/>
      <c r="U698" s="3"/>
      <c r="V698" s="4"/>
    </row>
    <row r="699" ht="15.75" customHeight="1">
      <c r="S699" s="3"/>
      <c r="T699" s="3"/>
      <c r="U699" s="3"/>
      <c r="V699" s="4"/>
    </row>
    <row r="700" ht="15.75" customHeight="1">
      <c r="S700" s="3"/>
      <c r="T700" s="3"/>
      <c r="U700" s="3"/>
      <c r="V700" s="4"/>
    </row>
    <row r="701" ht="15.75" customHeight="1">
      <c r="S701" s="3"/>
      <c r="T701" s="3"/>
      <c r="U701" s="3"/>
      <c r="V701" s="4"/>
    </row>
    <row r="702" ht="15.75" customHeight="1">
      <c r="S702" s="3"/>
      <c r="T702" s="3"/>
      <c r="U702" s="3"/>
      <c r="V702" s="4"/>
    </row>
    <row r="703" ht="15.75" customHeight="1">
      <c r="S703" s="3"/>
      <c r="T703" s="3"/>
      <c r="U703" s="3"/>
      <c r="V703" s="4"/>
    </row>
    <row r="704" ht="15.75" customHeight="1">
      <c r="S704" s="3"/>
      <c r="T704" s="3"/>
      <c r="U704" s="3"/>
      <c r="V704" s="4"/>
    </row>
    <row r="705" ht="15.75" customHeight="1">
      <c r="S705" s="3"/>
      <c r="T705" s="3"/>
      <c r="U705" s="3"/>
      <c r="V705" s="4"/>
    </row>
    <row r="706" ht="15.75" customHeight="1">
      <c r="S706" s="3"/>
      <c r="T706" s="3"/>
      <c r="U706" s="3"/>
      <c r="V706" s="4"/>
    </row>
    <row r="707" ht="15.75" customHeight="1">
      <c r="S707" s="3"/>
      <c r="T707" s="3"/>
      <c r="U707" s="3"/>
      <c r="V707" s="4"/>
    </row>
    <row r="708" ht="15.75" customHeight="1">
      <c r="S708" s="3"/>
      <c r="T708" s="3"/>
      <c r="U708" s="3"/>
      <c r="V708" s="4"/>
    </row>
    <row r="709" ht="15.75" customHeight="1">
      <c r="S709" s="3"/>
      <c r="T709" s="3"/>
      <c r="U709" s="3"/>
      <c r="V709" s="4"/>
    </row>
    <row r="710" ht="15.75" customHeight="1">
      <c r="S710" s="3"/>
      <c r="T710" s="3"/>
      <c r="U710" s="3"/>
      <c r="V710" s="4"/>
    </row>
    <row r="711" ht="15.75" customHeight="1">
      <c r="S711" s="3"/>
      <c r="T711" s="3"/>
      <c r="U711" s="3"/>
      <c r="V711" s="4"/>
    </row>
    <row r="712" ht="15.75" customHeight="1">
      <c r="S712" s="3"/>
      <c r="T712" s="3"/>
      <c r="U712" s="3"/>
      <c r="V712" s="4"/>
    </row>
    <row r="713" ht="15.75" customHeight="1">
      <c r="S713" s="3"/>
      <c r="T713" s="3"/>
      <c r="U713" s="3"/>
      <c r="V713" s="4"/>
    </row>
    <row r="714" ht="15.75" customHeight="1">
      <c r="S714" s="3"/>
      <c r="T714" s="3"/>
      <c r="U714" s="3"/>
      <c r="V714" s="4"/>
    </row>
    <row r="715" ht="15.75" customHeight="1">
      <c r="S715" s="3"/>
      <c r="T715" s="3"/>
      <c r="U715" s="3"/>
      <c r="V715" s="4"/>
    </row>
    <row r="716" ht="15.75" customHeight="1">
      <c r="S716" s="3"/>
      <c r="T716" s="3"/>
      <c r="U716" s="3"/>
      <c r="V716" s="4"/>
    </row>
    <row r="717" ht="15.75" customHeight="1">
      <c r="S717" s="3"/>
      <c r="T717" s="3"/>
      <c r="U717" s="3"/>
      <c r="V717" s="4"/>
    </row>
    <row r="718" ht="15.75" customHeight="1">
      <c r="S718" s="3"/>
      <c r="T718" s="3"/>
      <c r="U718" s="3"/>
      <c r="V718" s="4"/>
    </row>
    <row r="719" ht="15.75" customHeight="1">
      <c r="S719" s="3"/>
      <c r="T719" s="3"/>
      <c r="U719" s="3"/>
      <c r="V719" s="4"/>
    </row>
    <row r="720" ht="15.75" customHeight="1">
      <c r="S720" s="3"/>
      <c r="T720" s="3"/>
      <c r="U720" s="3"/>
      <c r="V720" s="4"/>
    </row>
    <row r="721" ht="15.75" customHeight="1">
      <c r="S721" s="3"/>
      <c r="T721" s="3"/>
      <c r="U721" s="3"/>
      <c r="V721" s="4"/>
    </row>
    <row r="722" ht="15.75" customHeight="1">
      <c r="S722" s="3"/>
      <c r="T722" s="3"/>
      <c r="U722" s="3"/>
      <c r="V722" s="4"/>
    </row>
    <row r="723" ht="15.75" customHeight="1">
      <c r="S723" s="3"/>
      <c r="T723" s="3"/>
      <c r="U723" s="3"/>
      <c r="V723" s="4"/>
    </row>
    <row r="724" ht="15.75" customHeight="1">
      <c r="S724" s="3"/>
      <c r="T724" s="3"/>
      <c r="U724" s="3"/>
      <c r="V724" s="4"/>
    </row>
    <row r="725" ht="15.75" customHeight="1">
      <c r="S725" s="3"/>
      <c r="T725" s="3"/>
      <c r="U725" s="3"/>
      <c r="V725" s="4"/>
    </row>
    <row r="726" ht="15.75" customHeight="1">
      <c r="S726" s="3"/>
      <c r="T726" s="3"/>
      <c r="U726" s="3"/>
      <c r="V726" s="4"/>
    </row>
    <row r="727" ht="15.75" customHeight="1">
      <c r="S727" s="3"/>
      <c r="T727" s="3"/>
      <c r="U727" s="3"/>
      <c r="V727" s="4"/>
    </row>
    <row r="728" ht="15.75" customHeight="1">
      <c r="S728" s="3"/>
      <c r="T728" s="3"/>
      <c r="U728" s="3"/>
      <c r="V728" s="4"/>
    </row>
    <row r="729" ht="15.75" customHeight="1">
      <c r="S729" s="3"/>
      <c r="T729" s="3"/>
      <c r="U729" s="3"/>
      <c r="V729" s="4"/>
    </row>
    <row r="730" ht="15.75" customHeight="1">
      <c r="S730" s="3"/>
      <c r="T730" s="3"/>
      <c r="U730" s="3"/>
      <c r="V730" s="4"/>
    </row>
    <row r="731" ht="15.75" customHeight="1">
      <c r="S731" s="3"/>
      <c r="T731" s="3"/>
      <c r="U731" s="3"/>
      <c r="V731" s="4"/>
    </row>
    <row r="732" ht="15.75" customHeight="1">
      <c r="S732" s="3"/>
      <c r="T732" s="3"/>
      <c r="U732" s="3"/>
      <c r="V732" s="4"/>
    </row>
    <row r="733" ht="15.75" customHeight="1">
      <c r="S733" s="3"/>
      <c r="T733" s="3"/>
      <c r="U733" s="3"/>
      <c r="V733" s="4"/>
    </row>
    <row r="734" ht="15.75" customHeight="1">
      <c r="S734" s="3"/>
      <c r="T734" s="3"/>
      <c r="U734" s="3"/>
      <c r="V734" s="4"/>
    </row>
    <row r="735" ht="15.75" customHeight="1">
      <c r="S735" s="3"/>
      <c r="T735" s="3"/>
      <c r="U735" s="3"/>
      <c r="V735" s="4"/>
    </row>
    <row r="736" ht="15.75" customHeight="1">
      <c r="S736" s="3"/>
      <c r="T736" s="3"/>
      <c r="U736" s="3"/>
      <c r="V736" s="4"/>
    </row>
    <row r="737" ht="15.75" customHeight="1">
      <c r="S737" s="3"/>
      <c r="T737" s="3"/>
      <c r="U737" s="3"/>
      <c r="V737" s="4"/>
    </row>
    <row r="738" ht="15.75" customHeight="1">
      <c r="S738" s="3"/>
      <c r="T738" s="3"/>
      <c r="U738" s="3"/>
      <c r="V738" s="4"/>
    </row>
    <row r="739" ht="15.75" customHeight="1">
      <c r="S739" s="3"/>
      <c r="T739" s="3"/>
      <c r="U739" s="3"/>
      <c r="V739" s="4"/>
    </row>
    <row r="740" ht="15.75" customHeight="1">
      <c r="S740" s="3"/>
      <c r="T740" s="3"/>
      <c r="U740" s="3"/>
      <c r="V740" s="4"/>
    </row>
    <row r="741" ht="15.75" customHeight="1">
      <c r="S741" s="3"/>
      <c r="T741" s="3"/>
      <c r="U741" s="3"/>
      <c r="V741" s="4"/>
    </row>
    <row r="742" ht="15.75" customHeight="1">
      <c r="S742" s="3"/>
      <c r="T742" s="3"/>
      <c r="U742" s="3"/>
      <c r="V742" s="4"/>
    </row>
    <row r="743" ht="15.75" customHeight="1">
      <c r="S743" s="3"/>
      <c r="T743" s="3"/>
      <c r="U743" s="3"/>
      <c r="V743" s="4"/>
    </row>
    <row r="744" ht="15.75" customHeight="1">
      <c r="S744" s="3"/>
      <c r="T744" s="3"/>
      <c r="U744" s="3"/>
      <c r="V744" s="4"/>
    </row>
    <row r="745" ht="15.75" customHeight="1">
      <c r="S745" s="3"/>
      <c r="T745" s="3"/>
      <c r="U745" s="3"/>
      <c r="V745" s="4"/>
    </row>
    <row r="746" ht="15.75" customHeight="1">
      <c r="S746" s="3"/>
      <c r="T746" s="3"/>
      <c r="U746" s="3"/>
      <c r="V746" s="4"/>
    </row>
    <row r="747" ht="15.75" customHeight="1">
      <c r="S747" s="3"/>
      <c r="T747" s="3"/>
      <c r="U747" s="3"/>
      <c r="V747" s="4"/>
    </row>
    <row r="748" ht="15.75" customHeight="1">
      <c r="S748" s="3"/>
      <c r="T748" s="3"/>
      <c r="U748" s="3"/>
      <c r="V748" s="4"/>
    </row>
    <row r="749" ht="15.75" customHeight="1">
      <c r="S749" s="3"/>
      <c r="T749" s="3"/>
      <c r="U749" s="3"/>
      <c r="V749" s="4"/>
    </row>
    <row r="750" ht="15.75" customHeight="1">
      <c r="S750" s="3"/>
      <c r="T750" s="3"/>
      <c r="U750" s="3"/>
      <c r="V750" s="4"/>
    </row>
    <row r="751" ht="15.75" customHeight="1">
      <c r="S751" s="3"/>
      <c r="T751" s="3"/>
      <c r="U751" s="3"/>
      <c r="V751" s="4"/>
    </row>
    <row r="752" ht="15.75" customHeight="1">
      <c r="S752" s="3"/>
      <c r="T752" s="3"/>
      <c r="U752" s="3"/>
      <c r="V752" s="4"/>
    </row>
    <row r="753" ht="15.75" customHeight="1">
      <c r="S753" s="3"/>
      <c r="T753" s="3"/>
      <c r="U753" s="3"/>
      <c r="V753" s="4"/>
    </row>
    <row r="754" ht="15.75" customHeight="1">
      <c r="S754" s="3"/>
      <c r="T754" s="3"/>
      <c r="U754" s="3"/>
      <c r="V754" s="4"/>
    </row>
    <row r="755" ht="15.75" customHeight="1">
      <c r="S755" s="3"/>
      <c r="T755" s="3"/>
      <c r="U755" s="3"/>
      <c r="V755" s="4"/>
    </row>
    <row r="756" ht="15.75" customHeight="1">
      <c r="S756" s="3"/>
      <c r="T756" s="3"/>
      <c r="U756" s="3"/>
      <c r="V756" s="4"/>
    </row>
    <row r="757" ht="15.75" customHeight="1">
      <c r="S757" s="3"/>
      <c r="T757" s="3"/>
      <c r="U757" s="3"/>
      <c r="V757" s="4"/>
    </row>
    <row r="758" ht="15.75" customHeight="1">
      <c r="S758" s="3"/>
      <c r="T758" s="3"/>
      <c r="U758" s="3"/>
      <c r="V758" s="4"/>
    </row>
    <row r="759" ht="15.75" customHeight="1">
      <c r="S759" s="3"/>
      <c r="T759" s="3"/>
      <c r="U759" s="3"/>
      <c r="V759" s="4"/>
    </row>
    <row r="760" ht="15.75" customHeight="1">
      <c r="S760" s="3"/>
      <c r="T760" s="3"/>
      <c r="U760" s="3"/>
      <c r="V760" s="4"/>
    </row>
    <row r="761" ht="15.75" customHeight="1">
      <c r="S761" s="3"/>
      <c r="T761" s="3"/>
      <c r="U761" s="3"/>
      <c r="V761" s="4"/>
    </row>
    <row r="762" ht="15.75" customHeight="1">
      <c r="S762" s="3"/>
      <c r="T762" s="3"/>
      <c r="U762" s="3"/>
      <c r="V762" s="4"/>
    </row>
    <row r="763" ht="15.75" customHeight="1">
      <c r="S763" s="3"/>
      <c r="T763" s="3"/>
      <c r="U763" s="3"/>
      <c r="V763" s="4"/>
    </row>
    <row r="764" ht="15.75" customHeight="1">
      <c r="S764" s="3"/>
      <c r="T764" s="3"/>
      <c r="U764" s="3"/>
      <c r="V764" s="4"/>
    </row>
    <row r="765" ht="15.75" customHeight="1">
      <c r="S765" s="3"/>
      <c r="T765" s="3"/>
      <c r="U765" s="3"/>
      <c r="V765" s="4"/>
    </row>
    <row r="766" ht="15.75" customHeight="1">
      <c r="S766" s="3"/>
      <c r="T766" s="3"/>
      <c r="U766" s="3"/>
      <c r="V766" s="4"/>
    </row>
    <row r="767" ht="15.75" customHeight="1">
      <c r="S767" s="3"/>
      <c r="T767" s="3"/>
      <c r="U767" s="3"/>
      <c r="V767" s="4"/>
    </row>
    <row r="768" ht="15.75" customHeight="1">
      <c r="S768" s="3"/>
      <c r="T768" s="3"/>
      <c r="U768" s="3"/>
      <c r="V768" s="4"/>
    </row>
    <row r="769" ht="15.75" customHeight="1">
      <c r="S769" s="3"/>
      <c r="T769" s="3"/>
      <c r="U769" s="3"/>
      <c r="V769" s="4"/>
    </row>
    <row r="770" ht="15.75" customHeight="1">
      <c r="S770" s="3"/>
      <c r="T770" s="3"/>
      <c r="U770" s="3"/>
      <c r="V770" s="4"/>
    </row>
    <row r="771" ht="15.75" customHeight="1">
      <c r="S771" s="3"/>
      <c r="T771" s="3"/>
      <c r="U771" s="3"/>
      <c r="V771" s="4"/>
    </row>
    <row r="772" ht="15.75" customHeight="1">
      <c r="S772" s="3"/>
      <c r="T772" s="3"/>
      <c r="U772" s="3"/>
      <c r="V772" s="4"/>
    </row>
    <row r="773" ht="15.75" customHeight="1">
      <c r="S773" s="3"/>
      <c r="T773" s="3"/>
      <c r="U773" s="3"/>
      <c r="V773" s="4"/>
    </row>
    <row r="774" ht="15.75" customHeight="1">
      <c r="S774" s="3"/>
      <c r="T774" s="3"/>
      <c r="U774" s="3"/>
      <c r="V774" s="4"/>
    </row>
    <row r="775" ht="15.75" customHeight="1">
      <c r="S775" s="3"/>
      <c r="T775" s="3"/>
      <c r="U775" s="3"/>
      <c r="V775" s="4"/>
    </row>
    <row r="776" ht="15.75" customHeight="1">
      <c r="S776" s="3"/>
      <c r="T776" s="3"/>
      <c r="U776" s="3"/>
      <c r="V776" s="4"/>
    </row>
    <row r="777" ht="15.75" customHeight="1">
      <c r="S777" s="3"/>
      <c r="T777" s="3"/>
      <c r="U777" s="3"/>
      <c r="V777" s="4"/>
    </row>
    <row r="778" ht="15.75" customHeight="1">
      <c r="S778" s="3"/>
      <c r="T778" s="3"/>
      <c r="U778" s="3"/>
      <c r="V778" s="4"/>
    </row>
    <row r="779" ht="15.75" customHeight="1">
      <c r="S779" s="3"/>
      <c r="T779" s="3"/>
      <c r="U779" s="3"/>
      <c r="V779" s="4"/>
    </row>
    <row r="780" ht="15.75" customHeight="1">
      <c r="S780" s="3"/>
      <c r="T780" s="3"/>
      <c r="U780" s="3"/>
      <c r="V780" s="4"/>
    </row>
    <row r="781" ht="15.75" customHeight="1">
      <c r="S781" s="3"/>
      <c r="T781" s="3"/>
      <c r="U781" s="3"/>
      <c r="V781" s="4"/>
    </row>
    <row r="782" ht="15.75" customHeight="1">
      <c r="S782" s="3"/>
      <c r="T782" s="3"/>
      <c r="U782" s="3"/>
      <c r="V782" s="4"/>
    </row>
    <row r="783" ht="15.75" customHeight="1">
      <c r="S783" s="3"/>
      <c r="T783" s="3"/>
      <c r="U783" s="3"/>
      <c r="V783" s="4"/>
    </row>
    <row r="784" ht="15.75" customHeight="1">
      <c r="S784" s="3"/>
      <c r="T784" s="3"/>
      <c r="U784" s="3"/>
      <c r="V784" s="4"/>
    </row>
    <row r="785" ht="15.75" customHeight="1">
      <c r="S785" s="3"/>
      <c r="T785" s="3"/>
      <c r="U785" s="3"/>
      <c r="V785" s="4"/>
    </row>
    <row r="786" ht="15.75" customHeight="1">
      <c r="S786" s="3"/>
      <c r="T786" s="3"/>
      <c r="U786" s="3"/>
      <c r="V786" s="4"/>
    </row>
    <row r="787" ht="15.75" customHeight="1">
      <c r="S787" s="3"/>
      <c r="T787" s="3"/>
      <c r="U787" s="3"/>
      <c r="V787" s="4"/>
    </row>
    <row r="788" ht="15.75" customHeight="1">
      <c r="S788" s="3"/>
      <c r="T788" s="3"/>
      <c r="U788" s="3"/>
      <c r="V788" s="4"/>
    </row>
    <row r="789" ht="15.75" customHeight="1">
      <c r="S789" s="3"/>
      <c r="T789" s="3"/>
      <c r="U789" s="3"/>
      <c r="V789" s="4"/>
    </row>
    <row r="790" ht="15.75" customHeight="1">
      <c r="S790" s="3"/>
      <c r="T790" s="3"/>
      <c r="U790" s="3"/>
      <c r="V790" s="4"/>
    </row>
    <row r="791" ht="15.75" customHeight="1">
      <c r="S791" s="3"/>
      <c r="T791" s="3"/>
      <c r="U791" s="3"/>
      <c r="V791" s="4"/>
    </row>
    <row r="792" ht="15.75" customHeight="1">
      <c r="S792" s="3"/>
      <c r="T792" s="3"/>
      <c r="U792" s="3"/>
      <c r="V792" s="4"/>
    </row>
    <row r="793" ht="15.75" customHeight="1">
      <c r="S793" s="3"/>
      <c r="T793" s="3"/>
      <c r="U793" s="3"/>
      <c r="V793" s="4"/>
    </row>
    <row r="794" ht="15.75" customHeight="1">
      <c r="S794" s="3"/>
      <c r="T794" s="3"/>
      <c r="U794" s="3"/>
      <c r="V794" s="4"/>
    </row>
    <row r="795" ht="15.75" customHeight="1">
      <c r="S795" s="3"/>
      <c r="T795" s="3"/>
      <c r="U795" s="3"/>
      <c r="V795" s="4"/>
    </row>
    <row r="796" ht="15.75" customHeight="1">
      <c r="S796" s="3"/>
      <c r="T796" s="3"/>
      <c r="U796" s="3"/>
      <c r="V796" s="4"/>
    </row>
    <row r="797" ht="15.75" customHeight="1">
      <c r="S797" s="3"/>
      <c r="T797" s="3"/>
      <c r="U797" s="3"/>
      <c r="V797" s="4"/>
    </row>
    <row r="798" ht="15.75" customHeight="1">
      <c r="S798" s="3"/>
      <c r="T798" s="3"/>
      <c r="U798" s="3"/>
      <c r="V798" s="4"/>
    </row>
    <row r="799" ht="15.75" customHeight="1">
      <c r="S799" s="3"/>
      <c r="T799" s="3"/>
      <c r="U799" s="3"/>
      <c r="V799" s="4"/>
    </row>
    <row r="800" ht="15.75" customHeight="1">
      <c r="S800" s="3"/>
      <c r="T800" s="3"/>
      <c r="U800" s="3"/>
      <c r="V800" s="4"/>
    </row>
    <row r="801" ht="15.75" customHeight="1">
      <c r="S801" s="3"/>
      <c r="T801" s="3"/>
      <c r="U801" s="3"/>
      <c r="V801" s="4"/>
    </row>
    <row r="802" ht="15.75" customHeight="1">
      <c r="S802" s="3"/>
      <c r="T802" s="3"/>
      <c r="U802" s="3"/>
      <c r="V802" s="4"/>
    </row>
    <row r="803" ht="15.75" customHeight="1">
      <c r="S803" s="3"/>
      <c r="T803" s="3"/>
      <c r="U803" s="3"/>
      <c r="V803" s="4"/>
    </row>
    <row r="804" ht="15.75" customHeight="1">
      <c r="S804" s="3"/>
      <c r="T804" s="3"/>
      <c r="U804" s="3"/>
      <c r="V804" s="4"/>
    </row>
    <row r="805" ht="15.75" customHeight="1">
      <c r="S805" s="3"/>
      <c r="T805" s="3"/>
      <c r="U805" s="3"/>
      <c r="V805" s="4"/>
    </row>
    <row r="806" ht="15.75" customHeight="1">
      <c r="S806" s="3"/>
      <c r="T806" s="3"/>
      <c r="U806" s="3"/>
      <c r="V806" s="4"/>
    </row>
    <row r="807" ht="15.75" customHeight="1">
      <c r="S807" s="3"/>
      <c r="T807" s="3"/>
      <c r="U807" s="3"/>
      <c r="V807" s="4"/>
    </row>
    <row r="808" ht="15.75" customHeight="1">
      <c r="S808" s="3"/>
      <c r="T808" s="3"/>
      <c r="U808" s="3"/>
      <c r="V808" s="4"/>
    </row>
    <row r="809" ht="15.75" customHeight="1">
      <c r="S809" s="3"/>
      <c r="T809" s="3"/>
      <c r="U809" s="3"/>
      <c r="V809" s="4"/>
    </row>
    <row r="810" ht="15.75" customHeight="1">
      <c r="S810" s="3"/>
      <c r="T810" s="3"/>
      <c r="U810" s="3"/>
      <c r="V810" s="4"/>
    </row>
    <row r="811" ht="15.75" customHeight="1">
      <c r="S811" s="3"/>
      <c r="T811" s="3"/>
      <c r="U811" s="3"/>
      <c r="V811" s="4"/>
    </row>
    <row r="812" ht="15.75" customHeight="1">
      <c r="S812" s="3"/>
      <c r="T812" s="3"/>
      <c r="U812" s="3"/>
      <c r="V812" s="4"/>
    </row>
    <row r="813" ht="15.75" customHeight="1">
      <c r="S813" s="3"/>
      <c r="T813" s="3"/>
      <c r="U813" s="3"/>
      <c r="V813" s="4"/>
    </row>
    <row r="814" ht="15.75" customHeight="1">
      <c r="S814" s="3"/>
      <c r="T814" s="3"/>
      <c r="U814" s="3"/>
      <c r="V814" s="4"/>
    </row>
    <row r="815" ht="15.75" customHeight="1">
      <c r="S815" s="3"/>
      <c r="T815" s="3"/>
      <c r="U815" s="3"/>
      <c r="V815" s="4"/>
    </row>
    <row r="816" ht="15.75" customHeight="1">
      <c r="S816" s="3"/>
      <c r="T816" s="3"/>
      <c r="U816" s="3"/>
      <c r="V816" s="4"/>
    </row>
    <row r="817" ht="15.75" customHeight="1">
      <c r="S817" s="3"/>
      <c r="T817" s="3"/>
      <c r="U817" s="3"/>
      <c r="V817" s="4"/>
    </row>
    <row r="818" ht="15.75" customHeight="1">
      <c r="S818" s="3"/>
      <c r="T818" s="3"/>
      <c r="U818" s="3"/>
      <c r="V818" s="4"/>
    </row>
    <row r="819" ht="15.75" customHeight="1">
      <c r="S819" s="3"/>
      <c r="T819" s="3"/>
      <c r="U819" s="3"/>
      <c r="V819" s="4"/>
    </row>
    <row r="820" ht="15.75" customHeight="1">
      <c r="S820" s="3"/>
      <c r="T820" s="3"/>
      <c r="U820" s="3"/>
      <c r="V820" s="4"/>
    </row>
    <row r="821" ht="15.75" customHeight="1">
      <c r="S821" s="3"/>
      <c r="T821" s="3"/>
      <c r="U821" s="3"/>
      <c r="V821" s="4"/>
    </row>
    <row r="822" ht="15.75" customHeight="1">
      <c r="S822" s="3"/>
      <c r="T822" s="3"/>
      <c r="U822" s="3"/>
      <c r="V822" s="4"/>
    </row>
    <row r="823" ht="15.75" customHeight="1">
      <c r="S823" s="3"/>
      <c r="T823" s="3"/>
      <c r="U823" s="3"/>
      <c r="V823" s="4"/>
    </row>
    <row r="824" ht="15.75" customHeight="1">
      <c r="S824" s="3"/>
      <c r="T824" s="3"/>
      <c r="U824" s="3"/>
      <c r="V824" s="4"/>
    </row>
    <row r="825" ht="15.75" customHeight="1">
      <c r="S825" s="3"/>
      <c r="T825" s="3"/>
      <c r="U825" s="3"/>
      <c r="V825" s="4"/>
    </row>
    <row r="826" ht="15.75" customHeight="1">
      <c r="S826" s="3"/>
      <c r="T826" s="3"/>
      <c r="U826" s="3"/>
      <c r="V826" s="4"/>
    </row>
    <row r="827" ht="15.75" customHeight="1">
      <c r="S827" s="3"/>
      <c r="T827" s="3"/>
      <c r="U827" s="3"/>
      <c r="V827" s="4"/>
    </row>
    <row r="828" ht="15.75" customHeight="1">
      <c r="S828" s="3"/>
      <c r="T828" s="3"/>
      <c r="U828" s="3"/>
      <c r="V828" s="4"/>
    </row>
    <row r="829" ht="15.75" customHeight="1">
      <c r="S829" s="3"/>
      <c r="T829" s="3"/>
      <c r="U829" s="3"/>
      <c r="V829" s="4"/>
    </row>
    <row r="830" ht="15.75" customHeight="1">
      <c r="S830" s="3"/>
      <c r="T830" s="3"/>
      <c r="U830" s="3"/>
      <c r="V830" s="4"/>
    </row>
    <row r="831" ht="15.75" customHeight="1">
      <c r="S831" s="3"/>
      <c r="T831" s="3"/>
      <c r="U831" s="3"/>
      <c r="V831" s="4"/>
    </row>
    <row r="832" ht="15.75" customHeight="1">
      <c r="S832" s="3"/>
      <c r="T832" s="3"/>
      <c r="U832" s="3"/>
      <c r="V832" s="4"/>
    </row>
    <row r="833" ht="15.75" customHeight="1">
      <c r="S833" s="3"/>
      <c r="T833" s="3"/>
      <c r="U833" s="3"/>
      <c r="V833" s="4"/>
    </row>
    <row r="834" ht="15.75" customHeight="1">
      <c r="S834" s="3"/>
      <c r="T834" s="3"/>
      <c r="U834" s="3"/>
      <c r="V834" s="4"/>
    </row>
    <row r="835" ht="15.75" customHeight="1">
      <c r="S835" s="3"/>
      <c r="T835" s="3"/>
      <c r="U835" s="3"/>
      <c r="V835" s="4"/>
    </row>
    <row r="836" ht="15.75" customHeight="1">
      <c r="S836" s="3"/>
      <c r="T836" s="3"/>
      <c r="U836" s="3"/>
      <c r="V836" s="4"/>
    </row>
    <row r="837" ht="15.75" customHeight="1">
      <c r="S837" s="3"/>
      <c r="T837" s="3"/>
      <c r="U837" s="3"/>
      <c r="V837" s="4"/>
    </row>
    <row r="838" ht="15.75" customHeight="1">
      <c r="S838" s="3"/>
      <c r="T838" s="3"/>
      <c r="U838" s="3"/>
      <c r="V838" s="4"/>
    </row>
    <row r="839" ht="15.75" customHeight="1">
      <c r="S839" s="3"/>
      <c r="T839" s="3"/>
      <c r="U839" s="3"/>
      <c r="V839" s="4"/>
    </row>
    <row r="840" ht="15.75" customHeight="1">
      <c r="S840" s="3"/>
      <c r="T840" s="3"/>
      <c r="U840" s="3"/>
      <c r="V840" s="4"/>
    </row>
    <row r="841" ht="15.75" customHeight="1">
      <c r="S841" s="3"/>
      <c r="T841" s="3"/>
      <c r="U841" s="3"/>
      <c r="V841" s="4"/>
    </row>
    <row r="842" ht="15.75" customHeight="1">
      <c r="S842" s="3"/>
      <c r="T842" s="3"/>
      <c r="U842" s="3"/>
      <c r="V842" s="4"/>
    </row>
    <row r="843" ht="15.75" customHeight="1">
      <c r="S843" s="3"/>
      <c r="T843" s="3"/>
      <c r="U843" s="3"/>
      <c r="V843" s="4"/>
    </row>
    <row r="844" ht="15.75" customHeight="1">
      <c r="S844" s="3"/>
      <c r="T844" s="3"/>
      <c r="U844" s="3"/>
      <c r="V844" s="4"/>
    </row>
    <row r="845" ht="15.75" customHeight="1">
      <c r="S845" s="3"/>
      <c r="T845" s="3"/>
      <c r="U845" s="3"/>
      <c r="V845" s="4"/>
    </row>
    <row r="846" ht="15.75" customHeight="1">
      <c r="S846" s="3"/>
      <c r="T846" s="3"/>
      <c r="U846" s="3"/>
      <c r="V846" s="4"/>
    </row>
    <row r="847" ht="15.75" customHeight="1">
      <c r="S847" s="3"/>
      <c r="T847" s="3"/>
      <c r="U847" s="3"/>
      <c r="V847" s="4"/>
    </row>
    <row r="848" ht="15.75" customHeight="1">
      <c r="S848" s="3"/>
      <c r="T848" s="3"/>
      <c r="U848" s="3"/>
      <c r="V848" s="4"/>
    </row>
    <row r="849" ht="15.75" customHeight="1">
      <c r="S849" s="3"/>
      <c r="T849" s="3"/>
      <c r="U849" s="3"/>
      <c r="V849" s="4"/>
    </row>
    <row r="850" ht="15.75" customHeight="1">
      <c r="S850" s="3"/>
      <c r="T850" s="3"/>
      <c r="U850" s="3"/>
      <c r="V850" s="4"/>
    </row>
    <row r="851" ht="15.75" customHeight="1">
      <c r="S851" s="3"/>
      <c r="T851" s="3"/>
      <c r="U851" s="3"/>
      <c r="V851" s="4"/>
    </row>
    <row r="852" ht="15.75" customHeight="1">
      <c r="S852" s="3"/>
      <c r="T852" s="3"/>
      <c r="U852" s="3"/>
      <c r="V852" s="4"/>
    </row>
    <row r="853" ht="15.75" customHeight="1">
      <c r="S853" s="3"/>
      <c r="T853" s="3"/>
      <c r="U853" s="3"/>
      <c r="V853" s="4"/>
    </row>
    <row r="854" ht="15.75" customHeight="1">
      <c r="S854" s="3"/>
      <c r="T854" s="3"/>
      <c r="U854" s="3"/>
      <c r="V854" s="4"/>
    </row>
    <row r="855" ht="15.75" customHeight="1">
      <c r="S855" s="3"/>
      <c r="T855" s="3"/>
      <c r="U855" s="3"/>
      <c r="V855" s="4"/>
    </row>
    <row r="856" ht="15.75" customHeight="1">
      <c r="S856" s="3"/>
      <c r="T856" s="3"/>
      <c r="U856" s="3"/>
      <c r="V856" s="4"/>
    </row>
    <row r="857" ht="15.75" customHeight="1">
      <c r="S857" s="3"/>
      <c r="T857" s="3"/>
      <c r="U857" s="3"/>
      <c r="V857" s="4"/>
    </row>
    <row r="858" ht="15.75" customHeight="1">
      <c r="S858" s="3"/>
      <c r="T858" s="3"/>
      <c r="U858" s="3"/>
      <c r="V858" s="4"/>
    </row>
    <row r="859" ht="15.75" customHeight="1">
      <c r="S859" s="3"/>
      <c r="T859" s="3"/>
      <c r="U859" s="3"/>
      <c r="V859" s="4"/>
    </row>
    <row r="860" ht="15.75" customHeight="1">
      <c r="S860" s="3"/>
      <c r="T860" s="3"/>
      <c r="U860" s="3"/>
      <c r="V860" s="4"/>
    </row>
    <row r="861" ht="15.75" customHeight="1">
      <c r="S861" s="3"/>
      <c r="T861" s="3"/>
      <c r="U861" s="3"/>
      <c r="V861" s="4"/>
    </row>
    <row r="862" ht="15.75" customHeight="1">
      <c r="S862" s="3"/>
      <c r="T862" s="3"/>
      <c r="U862" s="3"/>
      <c r="V862" s="4"/>
    </row>
    <row r="863" ht="15.75" customHeight="1">
      <c r="S863" s="3"/>
      <c r="T863" s="3"/>
      <c r="U863" s="3"/>
      <c r="V863" s="4"/>
    </row>
    <row r="864" ht="15.75" customHeight="1">
      <c r="S864" s="3"/>
      <c r="T864" s="3"/>
      <c r="U864" s="3"/>
      <c r="V864" s="4"/>
    </row>
    <row r="865" ht="15.75" customHeight="1">
      <c r="S865" s="3"/>
      <c r="T865" s="3"/>
      <c r="U865" s="3"/>
      <c r="V865" s="4"/>
    </row>
    <row r="866" ht="15.75" customHeight="1">
      <c r="S866" s="3"/>
      <c r="T866" s="3"/>
      <c r="U866" s="3"/>
      <c r="V866" s="4"/>
    </row>
    <row r="867" ht="15.75" customHeight="1">
      <c r="S867" s="3"/>
      <c r="T867" s="3"/>
      <c r="U867" s="3"/>
      <c r="V867" s="4"/>
    </row>
    <row r="868" ht="15.75" customHeight="1">
      <c r="S868" s="3"/>
      <c r="T868" s="3"/>
      <c r="U868" s="3"/>
      <c r="V868" s="4"/>
    </row>
    <row r="869" ht="15.75" customHeight="1">
      <c r="S869" s="3"/>
      <c r="T869" s="3"/>
      <c r="U869" s="3"/>
      <c r="V869" s="4"/>
    </row>
    <row r="870" ht="15.75" customHeight="1">
      <c r="S870" s="3"/>
      <c r="T870" s="3"/>
      <c r="U870" s="3"/>
      <c r="V870" s="4"/>
    </row>
    <row r="871" ht="15.75" customHeight="1">
      <c r="S871" s="3"/>
      <c r="T871" s="3"/>
      <c r="U871" s="3"/>
      <c r="V871" s="4"/>
    </row>
    <row r="872" ht="15.75" customHeight="1">
      <c r="S872" s="3"/>
      <c r="T872" s="3"/>
      <c r="U872" s="3"/>
      <c r="V872" s="4"/>
    </row>
    <row r="873" ht="15.75" customHeight="1">
      <c r="S873" s="3"/>
      <c r="T873" s="3"/>
      <c r="U873" s="3"/>
      <c r="V873" s="4"/>
    </row>
    <row r="874" ht="15.75" customHeight="1">
      <c r="S874" s="3"/>
      <c r="T874" s="3"/>
      <c r="U874" s="3"/>
      <c r="V874" s="4"/>
    </row>
    <row r="875" ht="15.75" customHeight="1">
      <c r="S875" s="3"/>
      <c r="T875" s="3"/>
      <c r="U875" s="3"/>
      <c r="V875" s="4"/>
    </row>
    <row r="876" ht="15.75" customHeight="1">
      <c r="S876" s="3"/>
      <c r="T876" s="3"/>
      <c r="U876" s="3"/>
      <c r="V876" s="4"/>
    </row>
    <row r="877" ht="15.75" customHeight="1">
      <c r="S877" s="3"/>
      <c r="T877" s="3"/>
      <c r="U877" s="3"/>
      <c r="V877" s="4"/>
    </row>
    <row r="878" ht="15.75" customHeight="1">
      <c r="S878" s="3"/>
      <c r="T878" s="3"/>
      <c r="U878" s="3"/>
      <c r="V878" s="4"/>
    </row>
    <row r="879" ht="15.75" customHeight="1">
      <c r="S879" s="3"/>
      <c r="T879" s="3"/>
      <c r="U879" s="3"/>
      <c r="V879" s="4"/>
    </row>
    <row r="880" ht="15.75" customHeight="1">
      <c r="S880" s="3"/>
      <c r="T880" s="3"/>
      <c r="U880" s="3"/>
      <c r="V880" s="4"/>
    </row>
    <row r="881" ht="15.75" customHeight="1">
      <c r="S881" s="3"/>
      <c r="T881" s="3"/>
      <c r="U881" s="3"/>
      <c r="V881" s="4"/>
    </row>
    <row r="882" ht="15.75" customHeight="1">
      <c r="S882" s="3"/>
      <c r="T882" s="3"/>
      <c r="U882" s="3"/>
      <c r="V882" s="4"/>
    </row>
    <row r="883" ht="15.75" customHeight="1">
      <c r="S883" s="3"/>
      <c r="T883" s="3"/>
      <c r="U883" s="3"/>
      <c r="V883" s="4"/>
    </row>
    <row r="884" ht="15.75" customHeight="1">
      <c r="S884" s="3"/>
      <c r="T884" s="3"/>
      <c r="U884" s="3"/>
      <c r="V884" s="4"/>
    </row>
    <row r="885" ht="15.75" customHeight="1">
      <c r="S885" s="3"/>
      <c r="T885" s="3"/>
      <c r="U885" s="3"/>
      <c r="V885" s="4"/>
    </row>
    <row r="886" ht="15.75" customHeight="1">
      <c r="S886" s="3"/>
      <c r="T886" s="3"/>
      <c r="U886" s="3"/>
      <c r="V886" s="4"/>
    </row>
    <row r="887" ht="15.75" customHeight="1">
      <c r="S887" s="3"/>
      <c r="T887" s="3"/>
      <c r="U887" s="3"/>
      <c r="V887" s="4"/>
    </row>
    <row r="888" ht="15.75" customHeight="1">
      <c r="S888" s="3"/>
      <c r="T888" s="3"/>
      <c r="U888" s="3"/>
      <c r="V888" s="4"/>
    </row>
    <row r="889" ht="15.75" customHeight="1">
      <c r="S889" s="3"/>
      <c r="T889" s="3"/>
      <c r="U889" s="3"/>
      <c r="V889" s="4"/>
    </row>
    <row r="890" ht="15.75" customHeight="1">
      <c r="S890" s="3"/>
      <c r="T890" s="3"/>
      <c r="U890" s="3"/>
      <c r="V890" s="4"/>
    </row>
    <row r="891" ht="15.75" customHeight="1">
      <c r="S891" s="3"/>
      <c r="T891" s="3"/>
      <c r="U891" s="3"/>
      <c r="V891" s="4"/>
    </row>
    <row r="892" ht="15.75" customHeight="1">
      <c r="S892" s="3"/>
      <c r="T892" s="3"/>
      <c r="U892" s="3"/>
      <c r="V892" s="4"/>
    </row>
    <row r="893" ht="15.75" customHeight="1">
      <c r="S893" s="3"/>
      <c r="T893" s="3"/>
      <c r="U893" s="3"/>
      <c r="V893" s="4"/>
    </row>
    <row r="894" ht="15.75" customHeight="1">
      <c r="S894" s="3"/>
      <c r="T894" s="3"/>
      <c r="U894" s="3"/>
      <c r="V894" s="4"/>
    </row>
    <row r="895" ht="15.75" customHeight="1">
      <c r="S895" s="3"/>
      <c r="T895" s="3"/>
      <c r="U895" s="3"/>
      <c r="V895" s="4"/>
    </row>
    <row r="896" ht="15.75" customHeight="1">
      <c r="S896" s="3"/>
      <c r="T896" s="3"/>
      <c r="U896" s="3"/>
      <c r="V896" s="4"/>
    </row>
    <row r="897" ht="15.75" customHeight="1">
      <c r="S897" s="3"/>
      <c r="T897" s="3"/>
      <c r="U897" s="3"/>
      <c r="V897" s="4"/>
    </row>
    <row r="898" ht="15.75" customHeight="1">
      <c r="S898" s="3"/>
      <c r="T898" s="3"/>
      <c r="U898" s="3"/>
      <c r="V898" s="4"/>
    </row>
    <row r="899" ht="15.75" customHeight="1">
      <c r="S899" s="3"/>
      <c r="T899" s="3"/>
      <c r="U899" s="3"/>
      <c r="V899" s="4"/>
    </row>
    <row r="900" ht="15.75" customHeight="1">
      <c r="S900" s="3"/>
      <c r="T900" s="3"/>
      <c r="U900" s="3"/>
      <c r="V900" s="4"/>
    </row>
    <row r="901" ht="15.75" customHeight="1">
      <c r="S901" s="3"/>
      <c r="T901" s="3"/>
      <c r="U901" s="3"/>
      <c r="V901" s="4"/>
    </row>
    <row r="902" ht="15.75" customHeight="1">
      <c r="S902" s="3"/>
      <c r="T902" s="3"/>
      <c r="U902" s="3"/>
      <c r="V902" s="4"/>
    </row>
    <row r="903" ht="15.75" customHeight="1">
      <c r="S903" s="3"/>
      <c r="T903" s="3"/>
      <c r="U903" s="3"/>
      <c r="V903" s="4"/>
    </row>
    <row r="904" ht="15.75" customHeight="1">
      <c r="S904" s="3"/>
      <c r="T904" s="3"/>
      <c r="U904" s="3"/>
      <c r="V904" s="4"/>
    </row>
    <row r="905" ht="15.75" customHeight="1">
      <c r="S905" s="3"/>
      <c r="T905" s="3"/>
      <c r="U905" s="3"/>
      <c r="V905" s="4"/>
    </row>
    <row r="906" ht="15.75" customHeight="1">
      <c r="S906" s="3"/>
      <c r="T906" s="3"/>
      <c r="U906" s="3"/>
      <c r="V906" s="4"/>
    </row>
    <row r="907" ht="15.75" customHeight="1">
      <c r="S907" s="3"/>
      <c r="T907" s="3"/>
      <c r="U907" s="3"/>
      <c r="V907" s="4"/>
    </row>
    <row r="908" ht="15.75" customHeight="1">
      <c r="S908" s="3"/>
      <c r="T908" s="3"/>
      <c r="U908" s="3"/>
      <c r="V908" s="4"/>
    </row>
    <row r="909" ht="15.75" customHeight="1">
      <c r="S909" s="3"/>
      <c r="T909" s="3"/>
      <c r="U909" s="3"/>
      <c r="V909" s="4"/>
    </row>
    <row r="910" ht="15.75" customHeight="1">
      <c r="S910" s="3"/>
      <c r="T910" s="3"/>
      <c r="U910" s="3"/>
      <c r="V910" s="4"/>
    </row>
    <row r="911" ht="15.75" customHeight="1">
      <c r="S911" s="3"/>
      <c r="T911" s="3"/>
      <c r="U911" s="3"/>
      <c r="V911" s="4"/>
    </row>
    <row r="912" ht="15.75" customHeight="1">
      <c r="S912" s="3"/>
      <c r="T912" s="3"/>
      <c r="U912" s="3"/>
      <c r="V912" s="4"/>
    </row>
    <row r="913" ht="15.75" customHeight="1">
      <c r="S913" s="3"/>
      <c r="T913" s="3"/>
      <c r="U913" s="3"/>
      <c r="V913" s="4"/>
    </row>
    <row r="914" ht="15.75" customHeight="1">
      <c r="S914" s="3"/>
      <c r="T914" s="3"/>
      <c r="U914" s="3"/>
      <c r="V914" s="4"/>
    </row>
    <row r="915" ht="15.75" customHeight="1">
      <c r="S915" s="3"/>
      <c r="T915" s="3"/>
      <c r="U915" s="3"/>
      <c r="V915" s="4"/>
    </row>
    <row r="916" ht="15.75" customHeight="1">
      <c r="S916" s="3"/>
      <c r="T916" s="3"/>
      <c r="U916" s="3"/>
      <c r="V916" s="4"/>
    </row>
    <row r="917" ht="15.75" customHeight="1">
      <c r="S917" s="3"/>
      <c r="T917" s="3"/>
      <c r="U917" s="3"/>
      <c r="V917" s="4"/>
    </row>
    <row r="918" ht="15.75" customHeight="1">
      <c r="S918" s="3"/>
      <c r="T918" s="3"/>
      <c r="U918" s="3"/>
      <c r="V918" s="4"/>
    </row>
    <row r="919" ht="15.75" customHeight="1">
      <c r="S919" s="3"/>
      <c r="T919" s="3"/>
      <c r="U919" s="3"/>
      <c r="V919" s="4"/>
    </row>
    <row r="920" ht="15.75" customHeight="1">
      <c r="S920" s="3"/>
      <c r="T920" s="3"/>
      <c r="U920" s="3"/>
      <c r="V920" s="4"/>
    </row>
    <row r="921" ht="15.75" customHeight="1">
      <c r="S921" s="3"/>
      <c r="T921" s="3"/>
      <c r="U921" s="3"/>
      <c r="V921" s="4"/>
    </row>
    <row r="922" ht="15.75" customHeight="1">
      <c r="S922" s="3"/>
      <c r="T922" s="3"/>
      <c r="U922" s="3"/>
      <c r="V922" s="4"/>
    </row>
    <row r="923" ht="15.75" customHeight="1">
      <c r="S923" s="3"/>
      <c r="T923" s="3"/>
      <c r="U923" s="3"/>
      <c r="V923" s="4"/>
    </row>
    <row r="924" ht="15.75" customHeight="1">
      <c r="S924" s="3"/>
      <c r="T924" s="3"/>
      <c r="U924" s="3"/>
      <c r="V924" s="4"/>
    </row>
    <row r="925" ht="15.75" customHeight="1">
      <c r="S925" s="3"/>
      <c r="T925" s="3"/>
      <c r="U925" s="3"/>
      <c r="V925" s="4"/>
    </row>
    <row r="926" ht="15.75" customHeight="1">
      <c r="S926" s="3"/>
      <c r="T926" s="3"/>
      <c r="U926" s="3"/>
      <c r="V926" s="4"/>
    </row>
    <row r="927" ht="15.75" customHeight="1">
      <c r="S927" s="3"/>
      <c r="T927" s="3"/>
      <c r="U927" s="3"/>
      <c r="V927" s="4"/>
    </row>
    <row r="928" ht="15.75" customHeight="1">
      <c r="S928" s="3"/>
      <c r="T928" s="3"/>
      <c r="U928" s="3"/>
      <c r="V928" s="4"/>
    </row>
    <row r="929" ht="15.75" customHeight="1">
      <c r="S929" s="3"/>
      <c r="T929" s="3"/>
      <c r="U929" s="3"/>
      <c r="V929" s="4"/>
    </row>
    <row r="930" ht="15.75" customHeight="1">
      <c r="S930" s="3"/>
      <c r="T930" s="3"/>
      <c r="U930" s="3"/>
      <c r="V930" s="4"/>
    </row>
    <row r="931" ht="15.75" customHeight="1">
      <c r="S931" s="3"/>
      <c r="T931" s="3"/>
      <c r="U931" s="3"/>
      <c r="V931" s="4"/>
    </row>
    <row r="932" ht="15.75" customHeight="1">
      <c r="S932" s="3"/>
      <c r="T932" s="3"/>
      <c r="U932" s="3"/>
      <c r="V932" s="4"/>
    </row>
    <row r="933" ht="15.75" customHeight="1">
      <c r="S933" s="3"/>
      <c r="T933" s="3"/>
      <c r="U933" s="3"/>
      <c r="V933" s="4"/>
    </row>
    <row r="934" ht="15.75" customHeight="1">
      <c r="S934" s="3"/>
      <c r="T934" s="3"/>
      <c r="U934" s="3"/>
      <c r="V934" s="4"/>
    </row>
    <row r="935" ht="15.75" customHeight="1">
      <c r="S935" s="3"/>
      <c r="T935" s="3"/>
      <c r="U935" s="3"/>
      <c r="V935" s="4"/>
    </row>
    <row r="936" ht="15.75" customHeight="1">
      <c r="S936" s="3"/>
      <c r="T936" s="3"/>
      <c r="U936" s="3"/>
      <c r="V936" s="4"/>
    </row>
    <row r="937" ht="15.75" customHeight="1">
      <c r="S937" s="3"/>
      <c r="T937" s="3"/>
      <c r="U937" s="3"/>
      <c r="V937" s="4"/>
    </row>
    <row r="938" ht="15.75" customHeight="1">
      <c r="S938" s="3"/>
      <c r="T938" s="3"/>
      <c r="U938" s="3"/>
      <c r="V938" s="4"/>
    </row>
    <row r="939" ht="15.75" customHeight="1">
      <c r="S939" s="3"/>
      <c r="T939" s="3"/>
      <c r="U939" s="3"/>
      <c r="V939" s="4"/>
    </row>
    <row r="940" ht="15.75" customHeight="1">
      <c r="S940" s="3"/>
      <c r="T940" s="3"/>
      <c r="U940" s="3"/>
      <c r="V940" s="4"/>
    </row>
    <row r="941" ht="15.75" customHeight="1">
      <c r="S941" s="3"/>
      <c r="T941" s="3"/>
      <c r="U941" s="3"/>
      <c r="V941" s="4"/>
    </row>
    <row r="942" ht="15.75" customHeight="1">
      <c r="S942" s="3"/>
      <c r="T942" s="3"/>
      <c r="U942" s="3"/>
      <c r="V942" s="4"/>
    </row>
    <row r="943" ht="15.75" customHeight="1">
      <c r="S943" s="3"/>
      <c r="T943" s="3"/>
      <c r="U943" s="3"/>
      <c r="V943" s="4"/>
    </row>
    <row r="944" ht="15.75" customHeight="1">
      <c r="S944" s="3"/>
      <c r="T944" s="3"/>
      <c r="U944" s="3"/>
      <c r="V944" s="4"/>
    </row>
    <row r="945" ht="15.75" customHeight="1">
      <c r="S945" s="3"/>
      <c r="T945" s="3"/>
      <c r="U945" s="3"/>
      <c r="V945" s="4"/>
    </row>
    <row r="946" ht="15.75" customHeight="1">
      <c r="S946" s="3"/>
      <c r="T946" s="3"/>
      <c r="U946" s="3"/>
      <c r="V946" s="4"/>
    </row>
    <row r="947" ht="15.75" customHeight="1">
      <c r="S947" s="3"/>
      <c r="T947" s="3"/>
      <c r="U947" s="3"/>
      <c r="V947" s="4"/>
    </row>
    <row r="948" ht="15.75" customHeight="1">
      <c r="S948" s="3"/>
      <c r="T948" s="3"/>
      <c r="U948" s="3"/>
      <c r="V948" s="4"/>
    </row>
    <row r="949" ht="15.75" customHeight="1">
      <c r="S949" s="3"/>
      <c r="T949" s="3"/>
      <c r="U949" s="3"/>
      <c r="V949" s="4"/>
    </row>
    <row r="950" ht="15.75" customHeight="1">
      <c r="S950" s="3"/>
      <c r="T950" s="3"/>
      <c r="U950" s="3"/>
      <c r="V950" s="4"/>
    </row>
    <row r="951" ht="15.75" customHeight="1">
      <c r="S951" s="3"/>
      <c r="T951" s="3"/>
      <c r="U951" s="3"/>
      <c r="V951" s="4"/>
    </row>
    <row r="952" ht="15.75" customHeight="1">
      <c r="S952" s="3"/>
      <c r="T952" s="3"/>
      <c r="U952" s="3"/>
      <c r="V952" s="4"/>
    </row>
    <row r="953" ht="15.75" customHeight="1">
      <c r="S953" s="3"/>
      <c r="T953" s="3"/>
      <c r="U953" s="3"/>
      <c r="V953" s="4"/>
    </row>
    <row r="954" ht="15.75" customHeight="1">
      <c r="S954" s="3"/>
      <c r="T954" s="3"/>
      <c r="U954" s="3"/>
      <c r="V954" s="4"/>
    </row>
    <row r="955" ht="15.75" customHeight="1">
      <c r="S955" s="3"/>
      <c r="T955" s="3"/>
      <c r="U955" s="3"/>
      <c r="V955" s="4"/>
    </row>
    <row r="956" ht="15.75" customHeight="1">
      <c r="S956" s="3"/>
      <c r="T956" s="3"/>
      <c r="U956" s="3"/>
      <c r="V956" s="4"/>
    </row>
    <row r="957" ht="15.75" customHeight="1">
      <c r="S957" s="3"/>
      <c r="T957" s="3"/>
      <c r="U957" s="3"/>
      <c r="V957" s="4"/>
    </row>
    <row r="958" ht="15.75" customHeight="1">
      <c r="S958" s="3"/>
      <c r="T958" s="3"/>
      <c r="U958" s="3"/>
      <c r="V958" s="4"/>
    </row>
    <row r="959" ht="15.75" customHeight="1">
      <c r="S959" s="3"/>
      <c r="T959" s="3"/>
      <c r="U959" s="3"/>
      <c r="V959" s="4"/>
    </row>
    <row r="960" ht="15.75" customHeight="1">
      <c r="S960" s="3"/>
      <c r="T960" s="3"/>
      <c r="U960" s="3"/>
      <c r="V960" s="4"/>
    </row>
    <row r="961" ht="15.75" customHeight="1">
      <c r="S961" s="3"/>
      <c r="T961" s="3"/>
      <c r="U961" s="3"/>
      <c r="V961" s="4"/>
    </row>
    <row r="962" ht="15.75" customHeight="1">
      <c r="S962" s="3"/>
      <c r="T962" s="3"/>
      <c r="U962" s="3"/>
      <c r="V962" s="4"/>
    </row>
    <row r="963" ht="15.75" customHeight="1">
      <c r="S963" s="3"/>
      <c r="T963" s="3"/>
      <c r="U963" s="3"/>
      <c r="V963" s="4"/>
    </row>
    <row r="964" ht="15.75" customHeight="1">
      <c r="S964" s="3"/>
      <c r="T964" s="3"/>
      <c r="U964" s="3"/>
      <c r="V964" s="4"/>
    </row>
    <row r="965" ht="15.75" customHeight="1">
      <c r="S965" s="3"/>
      <c r="T965" s="3"/>
      <c r="U965" s="3"/>
      <c r="V965" s="4"/>
    </row>
    <row r="966" ht="15.75" customHeight="1">
      <c r="S966" s="3"/>
      <c r="T966" s="3"/>
      <c r="U966" s="3"/>
      <c r="V966" s="4"/>
    </row>
    <row r="967" ht="15.75" customHeight="1">
      <c r="S967" s="3"/>
      <c r="T967" s="3"/>
      <c r="U967" s="3"/>
      <c r="V967" s="4"/>
    </row>
    <row r="968" ht="15.75" customHeight="1">
      <c r="S968" s="3"/>
      <c r="T968" s="3"/>
      <c r="U968" s="3"/>
      <c r="V968" s="4"/>
    </row>
    <row r="969" ht="15.75" customHeight="1">
      <c r="S969" s="3"/>
      <c r="T969" s="3"/>
      <c r="U969" s="3"/>
      <c r="V969" s="4"/>
    </row>
    <row r="970" ht="15.75" customHeight="1">
      <c r="S970" s="3"/>
      <c r="T970" s="3"/>
      <c r="U970" s="3"/>
      <c r="V970" s="4"/>
    </row>
    <row r="971" ht="15.75" customHeight="1">
      <c r="S971" s="3"/>
      <c r="T971" s="3"/>
      <c r="U971" s="3"/>
      <c r="V971" s="4"/>
    </row>
    <row r="972" ht="15.75" customHeight="1">
      <c r="S972" s="3"/>
      <c r="T972" s="3"/>
      <c r="U972" s="3"/>
      <c r="V972" s="4"/>
    </row>
    <row r="973" ht="15.75" customHeight="1">
      <c r="S973" s="3"/>
      <c r="T973" s="3"/>
      <c r="U973" s="3"/>
      <c r="V973" s="4"/>
    </row>
    <row r="974" ht="15.75" customHeight="1">
      <c r="S974" s="3"/>
      <c r="T974" s="3"/>
      <c r="U974" s="3"/>
      <c r="V974" s="4"/>
    </row>
    <row r="975" ht="15.75" customHeight="1">
      <c r="S975" s="3"/>
      <c r="T975" s="3"/>
      <c r="U975" s="3"/>
      <c r="V975" s="4"/>
    </row>
    <row r="976" ht="15.75" customHeight="1">
      <c r="S976" s="3"/>
      <c r="T976" s="3"/>
      <c r="U976" s="3"/>
      <c r="V976" s="4"/>
    </row>
    <row r="977" ht="15.75" customHeight="1">
      <c r="S977" s="3"/>
      <c r="T977" s="3"/>
      <c r="U977" s="3"/>
      <c r="V977" s="4"/>
    </row>
    <row r="978" ht="15.75" customHeight="1">
      <c r="S978" s="3"/>
      <c r="T978" s="3"/>
      <c r="U978" s="3"/>
      <c r="V978" s="4"/>
    </row>
    <row r="979" ht="15.75" customHeight="1">
      <c r="S979" s="3"/>
      <c r="T979" s="3"/>
      <c r="U979" s="3"/>
      <c r="V979" s="4"/>
    </row>
    <row r="980" ht="15.75" customHeight="1">
      <c r="S980" s="3"/>
      <c r="T980" s="3"/>
      <c r="U980" s="3"/>
      <c r="V980" s="4"/>
    </row>
    <row r="981" ht="15.75" customHeight="1">
      <c r="S981" s="3"/>
      <c r="T981" s="3"/>
      <c r="U981" s="3"/>
      <c r="V981" s="4"/>
    </row>
    <row r="982" ht="15.75" customHeight="1">
      <c r="S982" s="3"/>
      <c r="T982" s="3"/>
      <c r="U982" s="3"/>
      <c r="V982" s="4"/>
    </row>
    <row r="983" ht="15.75" customHeight="1">
      <c r="S983" s="3"/>
      <c r="T983" s="3"/>
      <c r="U983" s="3"/>
      <c r="V983" s="4"/>
    </row>
    <row r="984" ht="15.75" customHeight="1">
      <c r="S984" s="3"/>
      <c r="T984" s="3"/>
      <c r="U984" s="3"/>
      <c r="V984" s="4"/>
    </row>
    <row r="985" ht="15.75" customHeight="1">
      <c r="S985" s="3"/>
      <c r="T985" s="3"/>
      <c r="U985" s="3"/>
      <c r="V985" s="4"/>
    </row>
    <row r="986" ht="15.75" customHeight="1">
      <c r="S986" s="3"/>
      <c r="T986" s="3"/>
      <c r="U986" s="3"/>
      <c r="V986" s="4"/>
    </row>
    <row r="987" ht="15.75" customHeight="1">
      <c r="S987" s="3"/>
      <c r="T987" s="3"/>
      <c r="U987" s="3"/>
      <c r="V987" s="4"/>
    </row>
    <row r="988" ht="15.75" customHeight="1">
      <c r="S988" s="3"/>
      <c r="T988" s="3"/>
      <c r="U988" s="3"/>
      <c r="V988" s="4"/>
    </row>
    <row r="989" ht="15.75" customHeight="1">
      <c r="S989" s="3"/>
      <c r="T989" s="3"/>
      <c r="U989" s="3"/>
      <c r="V989" s="4"/>
    </row>
    <row r="990" ht="15.75" customHeight="1">
      <c r="S990" s="3"/>
      <c r="T990" s="3"/>
      <c r="U990" s="3"/>
      <c r="V990" s="4"/>
    </row>
    <row r="991" ht="15.75" customHeight="1">
      <c r="S991" s="3"/>
      <c r="T991" s="3"/>
      <c r="U991" s="3"/>
      <c r="V991" s="4"/>
    </row>
    <row r="992" ht="15.75" customHeight="1">
      <c r="S992" s="3"/>
      <c r="T992" s="3"/>
      <c r="U992" s="3"/>
      <c r="V992" s="4"/>
    </row>
    <row r="993" ht="15.75" customHeight="1">
      <c r="S993" s="3"/>
      <c r="T993" s="3"/>
      <c r="U993" s="3"/>
      <c r="V993" s="4"/>
    </row>
    <row r="994" ht="15.75" customHeight="1">
      <c r="S994" s="3"/>
      <c r="T994" s="3"/>
      <c r="U994" s="3"/>
      <c r="V994" s="4"/>
    </row>
    <row r="995" ht="15.75" customHeight="1">
      <c r="S995" s="3"/>
      <c r="T995" s="3"/>
      <c r="U995" s="3"/>
      <c r="V995" s="4"/>
    </row>
    <row r="996" ht="15.75" customHeight="1">
      <c r="S996" s="3"/>
      <c r="T996" s="3"/>
      <c r="U996" s="3"/>
      <c r="V996" s="4"/>
    </row>
    <row r="997" ht="15.75" customHeight="1">
      <c r="S997" s="3"/>
      <c r="T997" s="3"/>
      <c r="U997" s="3"/>
      <c r="V997" s="4"/>
    </row>
    <row r="998" ht="15.75" customHeight="1">
      <c r="S998" s="3"/>
      <c r="T998" s="3"/>
      <c r="U998" s="3"/>
      <c r="V998" s="4"/>
    </row>
    <row r="999" ht="15.75" customHeight="1">
      <c r="S999" s="3"/>
      <c r="T999" s="3"/>
      <c r="U999" s="3"/>
      <c r="V999" s="4"/>
    </row>
    <row r="1000" ht="15.75" customHeight="1">
      <c r="S1000" s="3"/>
      <c r="T1000" s="3"/>
      <c r="U1000" s="3"/>
      <c r="V1000" s="4"/>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2.0"/>
    <col customWidth="1" min="2" max="2" width="14.44"/>
    <col customWidth="1" min="3" max="3" width="9.0"/>
    <col customWidth="1" min="4" max="4" width="14.0"/>
    <col customWidth="1" hidden="1" min="5" max="5" width="10.22"/>
    <col customWidth="1" min="6" max="6" width="10.89"/>
    <col customWidth="1" hidden="1" min="7" max="7" width="14.89"/>
    <col customWidth="1" min="8" max="8" width="11.0"/>
    <col customWidth="1" hidden="1" min="9" max="9" width="14.56"/>
    <col customWidth="1" min="10" max="10" width="15.22"/>
    <col customWidth="1" hidden="1" min="11" max="11" width="18.67"/>
    <col customWidth="1" min="12" max="12" width="9.89"/>
    <col customWidth="1" hidden="1" min="13" max="13" width="13.78"/>
    <col customWidth="1" min="14" max="14" width="17.0"/>
    <col customWidth="1" min="15" max="15" width="21.33"/>
    <col customWidth="1" min="16" max="16" width="4.56"/>
    <col customWidth="1" min="17" max="17" width="13.11"/>
    <col customWidth="1" min="18" max="18" width="11.33"/>
    <col customWidth="1" min="19" max="19" width="8.56"/>
  </cols>
  <sheetData>
    <row r="1">
      <c r="A1" s="11" t="s">
        <v>8</v>
      </c>
      <c r="B1" s="12" t="s">
        <v>251</v>
      </c>
      <c r="C1" s="11" t="s">
        <v>6</v>
      </c>
      <c r="D1" s="11" t="s">
        <v>9</v>
      </c>
      <c r="E1" s="12" t="s">
        <v>10</v>
      </c>
      <c r="F1" s="11" t="s">
        <v>12</v>
      </c>
      <c r="G1" s="11" t="s">
        <v>13</v>
      </c>
      <c r="H1" s="11" t="s">
        <v>14</v>
      </c>
      <c r="I1" s="11" t="s">
        <v>15</v>
      </c>
      <c r="J1" s="11" t="s">
        <v>16</v>
      </c>
      <c r="K1" s="11" t="s">
        <v>17</v>
      </c>
      <c r="L1" s="11" t="s">
        <v>18</v>
      </c>
      <c r="M1" s="11" t="s">
        <v>19</v>
      </c>
      <c r="N1" s="12" t="s">
        <v>252</v>
      </c>
      <c r="O1" s="13" t="s">
        <v>253</v>
      </c>
      <c r="P1" s="13" t="s">
        <v>23</v>
      </c>
      <c r="Q1" s="13" t="s">
        <v>24</v>
      </c>
      <c r="R1" s="13" t="s">
        <v>25</v>
      </c>
      <c r="S1" s="14" t="s">
        <v>26</v>
      </c>
      <c r="T1" s="11"/>
      <c r="U1" s="11"/>
      <c r="V1" s="11"/>
      <c r="W1" s="11"/>
    </row>
    <row r="2">
      <c r="A2" s="11"/>
      <c r="B2" s="11"/>
      <c r="C2" s="11"/>
      <c r="D2" s="11"/>
      <c r="E2" s="11"/>
      <c r="F2" s="11"/>
      <c r="G2" s="11"/>
      <c r="H2" s="11"/>
      <c r="I2" s="11"/>
      <c r="J2" s="11"/>
      <c r="K2" s="11"/>
      <c r="L2" s="11"/>
      <c r="M2" s="11"/>
      <c r="N2" s="11"/>
      <c r="O2" s="11"/>
      <c r="P2" s="11"/>
      <c r="Q2" s="11"/>
      <c r="R2" s="11"/>
      <c r="S2" s="11"/>
      <c r="T2" s="11"/>
      <c r="U2" s="11"/>
      <c r="V2" s="11"/>
      <c r="W2" s="11"/>
    </row>
    <row r="3">
      <c r="A3" s="11"/>
      <c r="B3" s="11"/>
      <c r="C3" s="11"/>
      <c r="D3" s="11"/>
      <c r="E3" s="11"/>
      <c r="F3" s="11"/>
      <c r="G3" s="11"/>
      <c r="H3" s="11"/>
      <c r="I3" s="11"/>
      <c r="J3" s="11"/>
      <c r="K3" s="11"/>
      <c r="L3" s="11"/>
      <c r="M3" s="11"/>
      <c r="N3" s="11"/>
      <c r="O3" s="11"/>
      <c r="P3" s="11"/>
      <c r="Q3" s="11"/>
      <c r="R3" s="11"/>
      <c r="S3" s="11"/>
      <c r="T3" s="11"/>
      <c r="U3" s="11"/>
      <c r="V3" s="11"/>
      <c r="W3" s="11"/>
    </row>
    <row r="4">
      <c r="A4" s="11"/>
      <c r="B4" s="11"/>
      <c r="C4" s="11"/>
      <c r="D4" s="11"/>
      <c r="E4" s="11"/>
      <c r="F4" s="11"/>
      <c r="G4" s="11"/>
      <c r="H4" s="11"/>
      <c r="I4" s="11"/>
      <c r="J4" s="11"/>
      <c r="K4" s="11"/>
      <c r="L4" s="11"/>
      <c r="M4" s="11"/>
      <c r="N4" s="11"/>
      <c r="O4" s="11"/>
      <c r="P4" s="11"/>
      <c r="Q4" s="11"/>
      <c r="R4" s="11"/>
      <c r="S4" s="11"/>
      <c r="T4" s="11"/>
      <c r="U4" s="11"/>
      <c r="V4" s="11"/>
      <c r="W4" s="11"/>
    </row>
    <row r="5">
      <c r="A5" s="11"/>
      <c r="B5" s="11"/>
      <c r="C5" s="11"/>
      <c r="D5" s="11"/>
      <c r="E5" s="11"/>
      <c r="F5" s="11"/>
      <c r="G5" s="11"/>
      <c r="H5" s="11"/>
      <c r="I5" s="11"/>
      <c r="J5" s="11"/>
      <c r="K5" s="11"/>
      <c r="L5" s="11"/>
      <c r="M5" s="11"/>
      <c r="N5" s="11"/>
      <c r="O5" s="11"/>
      <c r="P5" s="11"/>
      <c r="Q5" s="11"/>
      <c r="R5" s="11"/>
      <c r="S5" s="11"/>
      <c r="T5" s="11"/>
      <c r="U5" s="11"/>
      <c r="V5" s="11"/>
      <c r="W5" s="11"/>
    </row>
    <row r="6">
      <c r="A6" s="11"/>
      <c r="B6" s="11"/>
      <c r="C6" s="11"/>
      <c r="D6" s="11"/>
      <c r="E6" s="11"/>
      <c r="F6" s="11"/>
      <c r="G6" s="11"/>
      <c r="H6" s="11"/>
      <c r="I6" s="11"/>
      <c r="J6" s="11"/>
      <c r="K6" s="11"/>
      <c r="L6" s="11"/>
      <c r="M6" s="11"/>
      <c r="N6" s="11"/>
      <c r="O6" s="11"/>
      <c r="P6" s="11"/>
      <c r="Q6" s="11"/>
      <c r="R6" s="11"/>
      <c r="S6" s="11"/>
      <c r="T6" s="11"/>
      <c r="U6" s="11"/>
      <c r="V6" s="11"/>
      <c r="W6" s="11"/>
    </row>
    <row r="7">
      <c r="A7" s="11"/>
      <c r="B7" s="11"/>
      <c r="C7" s="11"/>
      <c r="D7" s="11"/>
      <c r="E7" s="11"/>
      <c r="F7" s="11"/>
      <c r="G7" s="11"/>
      <c r="H7" s="11"/>
      <c r="I7" s="11"/>
      <c r="J7" s="11"/>
      <c r="K7" s="11"/>
      <c r="L7" s="11"/>
      <c r="M7" s="11"/>
      <c r="N7" s="11"/>
      <c r="O7" s="11"/>
      <c r="P7" s="11"/>
      <c r="Q7" s="11"/>
      <c r="R7" s="11"/>
      <c r="S7" s="11"/>
      <c r="T7" s="11"/>
      <c r="U7" s="11"/>
      <c r="V7" s="11"/>
      <c r="W7" s="11"/>
    </row>
    <row r="8">
      <c r="A8" s="11"/>
      <c r="B8" s="11"/>
      <c r="C8" s="11"/>
      <c r="D8" s="11"/>
      <c r="E8" s="11"/>
      <c r="F8" s="11"/>
      <c r="G8" s="11"/>
      <c r="H8" s="11"/>
      <c r="I8" s="11"/>
      <c r="J8" s="11"/>
      <c r="K8" s="11"/>
      <c r="L8" s="11"/>
      <c r="M8" s="11"/>
      <c r="N8" s="11"/>
      <c r="O8" s="11"/>
      <c r="P8" s="11"/>
      <c r="Q8" s="11"/>
      <c r="R8" s="11"/>
      <c r="S8" s="11"/>
      <c r="T8" s="11"/>
      <c r="U8" s="11"/>
      <c r="V8" s="11"/>
      <c r="W8" s="11"/>
    </row>
    <row r="9">
      <c r="A9" s="11"/>
      <c r="B9" s="11"/>
      <c r="C9" s="11"/>
      <c r="D9" s="11"/>
      <c r="E9" s="11"/>
      <c r="F9" s="11"/>
      <c r="G9" s="11"/>
      <c r="H9" s="11"/>
      <c r="I9" s="11"/>
      <c r="J9" s="11"/>
      <c r="K9" s="11"/>
      <c r="L9" s="11"/>
      <c r="M9" s="11"/>
      <c r="N9" s="11"/>
      <c r="O9" s="11"/>
      <c r="P9" s="11"/>
      <c r="Q9" s="11"/>
      <c r="R9" s="11"/>
      <c r="S9" s="11"/>
      <c r="T9" s="11"/>
      <c r="U9" s="11"/>
      <c r="V9" s="11"/>
      <c r="W9" s="11"/>
    </row>
    <row r="10">
      <c r="A10" s="11"/>
      <c r="B10" s="11"/>
      <c r="C10" s="11"/>
      <c r="D10" s="11"/>
      <c r="E10" s="11"/>
      <c r="F10" s="11"/>
      <c r="G10" s="11"/>
      <c r="H10" s="11"/>
      <c r="I10" s="11"/>
      <c r="J10" s="11"/>
      <c r="K10" s="11"/>
      <c r="L10" s="11"/>
      <c r="M10" s="11"/>
      <c r="N10" s="11"/>
      <c r="O10" s="11"/>
      <c r="P10" s="11"/>
      <c r="Q10" s="11"/>
      <c r="R10" s="11"/>
      <c r="S10" s="11"/>
      <c r="T10" s="11"/>
      <c r="U10" s="11"/>
      <c r="V10" s="11"/>
      <c r="W10" s="11"/>
    </row>
    <row r="11">
      <c r="A11" s="11"/>
      <c r="B11" s="11"/>
      <c r="C11" s="11"/>
      <c r="D11" s="11"/>
      <c r="E11" s="11"/>
      <c r="F11" s="11"/>
      <c r="G11" s="11"/>
      <c r="H11" s="11"/>
      <c r="I11" s="11"/>
      <c r="J11" s="11"/>
      <c r="K11" s="11"/>
      <c r="L11" s="11"/>
      <c r="M11" s="11"/>
      <c r="N11" s="11"/>
      <c r="O11" s="11"/>
      <c r="P11" s="11"/>
      <c r="Q11" s="11"/>
      <c r="R11" s="11"/>
      <c r="S11" s="11"/>
      <c r="T11" s="11"/>
      <c r="U11" s="11"/>
      <c r="V11" s="11"/>
      <c r="W11" s="11"/>
    </row>
    <row r="12">
      <c r="A12" s="11"/>
      <c r="B12" s="11"/>
      <c r="C12" s="11"/>
      <c r="D12" s="11"/>
      <c r="E12" s="11"/>
      <c r="F12" s="11"/>
      <c r="G12" s="11"/>
      <c r="H12" s="11"/>
      <c r="I12" s="11"/>
      <c r="J12" s="11"/>
      <c r="K12" s="11"/>
      <c r="L12" s="11"/>
      <c r="M12" s="11"/>
      <c r="N12" s="11"/>
      <c r="O12" s="11"/>
      <c r="P12" s="11"/>
      <c r="Q12" s="11"/>
      <c r="R12" s="11"/>
      <c r="S12" s="11"/>
      <c r="T12" s="11"/>
      <c r="U12" s="11"/>
      <c r="V12" s="11"/>
      <c r="W12" s="11"/>
    </row>
    <row r="13">
      <c r="A13" s="11"/>
      <c r="B13" s="11"/>
      <c r="C13" s="11"/>
      <c r="D13" s="11"/>
      <c r="E13" s="11"/>
      <c r="F13" s="11"/>
      <c r="G13" s="11"/>
      <c r="H13" s="11"/>
      <c r="I13" s="11"/>
      <c r="J13" s="11"/>
      <c r="K13" s="11"/>
      <c r="L13" s="11"/>
      <c r="M13" s="11"/>
      <c r="N13" s="11"/>
      <c r="O13" s="11"/>
      <c r="P13" s="11"/>
      <c r="Q13" s="11"/>
      <c r="R13" s="11"/>
      <c r="S13" s="11"/>
      <c r="T13" s="11"/>
      <c r="U13" s="11"/>
      <c r="V13" s="11"/>
      <c r="W13" s="11"/>
    </row>
    <row r="14">
      <c r="A14" s="11"/>
      <c r="B14" s="11"/>
      <c r="C14" s="11"/>
      <c r="D14" s="11"/>
      <c r="E14" s="11"/>
      <c r="F14" s="11"/>
      <c r="G14" s="11"/>
      <c r="H14" s="11"/>
      <c r="I14" s="11"/>
      <c r="J14" s="11"/>
      <c r="K14" s="11"/>
      <c r="L14" s="11"/>
      <c r="M14" s="11"/>
      <c r="N14" s="11"/>
      <c r="O14" s="11"/>
      <c r="P14" s="11"/>
      <c r="Q14" s="11"/>
      <c r="R14" s="11"/>
      <c r="S14" s="11"/>
      <c r="T14" s="11"/>
      <c r="U14" s="11"/>
      <c r="V14" s="11"/>
      <c r="W14" s="11"/>
    </row>
    <row r="15">
      <c r="A15" s="11"/>
      <c r="B15" s="11"/>
      <c r="C15" s="11"/>
      <c r="D15" s="11"/>
      <c r="E15" s="11"/>
      <c r="F15" s="11"/>
      <c r="G15" s="11"/>
      <c r="H15" s="11"/>
      <c r="I15" s="11"/>
      <c r="J15" s="11"/>
      <c r="K15" s="11"/>
      <c r="L15" s="11"/>
      <c r="M15" s="11"/>
      <c r="N15" s="11"/>
      <c r="O15" s="11"/>
      <c r="P15" s="11"/>
      <c r="Q15" s="11"/>
      <c r="R15" s="11"/>
      <c r="S15" s="11"/>
      <c r="T15" s="11"/>
      <c r="U15" s="11"/>
      <c r="V15" s="11"/>
      <c r="W15" s="11"/>
    </row>
    <row r="16">
      <c r="A16" s="11"/>
      <c r="B16" s="11"/>
      <c r="C16" s="11"/>
      <c r="D16" s="11"/>
      <c r="E16" s="11"/>
      <c r="F16" s="11"/>
      <c r="G16" s="11"/>
      <c r="H16" s="11"/>
      <c r="I16" s="11"/>
      <c r="J16" s="11"/>
      <c r="K16" s="11"/>
      <c r="L16" s="11"/>
      <c r="M16" s="11"/>
      <c r="N16" s="11"/>
      <c r="O16" s="11"/>
      <c r="P16" s="11"/>
      <c r="Q16" s="11"/>
      <c r="R16" s="11"/>
      <c r="S16" s="11"/>
      <c r="T16" s="11"/>
      <c r="U16" s="11"/>
      <c r="V16" s="11"/>
      <c r="W16" s="11"/>
    </row>
    <row r="17">
      <c r="A17" s="11"/>
      <c r="B17" s="11"/>
      <c r="C17" s="11"/>
      <c r="D17" s="11"/>
      <c r="E17" s="11"/>
      <c r="F17" s="11"/>
      <c r="G17" s="11"/>
      <c r="H17" s="11"/>
      <c r="I17" s="11"/>
      <c r="J17" s="11"/>
      <c r="K17" s="11"/>
      <c r="L17" s="11"/>
      <c r="M17" s="11"/>
      <c r="N17" s="11"/>
      <c r="O17" s="11"/>
      <c r="P17" s="11"/>
      <c r="Q17" s="11"/>
      <c r="R17" s="11"/>
      <c r="S17" s="11"/>
      <c r="T17" s="11"/>
      <c r="U17" s="11"/>
      <c r="V17" s="11"/>
      <c r="W17" s="11"/>
    </row>
    <row r="18">
      <c r="A18" s="11"/>
      <c r="B18" s="11"/>
      <c r="C18" s="11"/>
      <c r="D18" s="11"/>
      <c r="E18" s="11"/>
      <c r="F18" s="11"/>
      <c r="G18" s="11"/>
      <c r="H18" s="11"/>
      <c r="I18" s="11"/>
      <c r="J18" s="11"/>
      <c r="K18" s="11"/>
      <c r="L18" s="11"/>
      <c r="M18" s="11"/>
      <c r="N18" s="11"/>
      <c r="O18" s="11"/>
      <c r="P18" s="11"/>
      <c r="Q18" s="11"/>
      <c r="R18" s="11"/>
      <c r="S18" s="11"/>
      <c r="T18" s="11"/>
      <c r="U18" s="11"/>
      <c r="V18" s="11"/>
      <c r="W18" s="11"/>
    </row>
    <row r="19">
      <c r="A19" s="11"/>
      <c r="B19" s="11"/>
      <c r="C19" s="11"/>
      <c r="D19" s="11"/>
      <c r="E19" s="11"/>
      <c r="F19" s="11"/>
      <c r="G19" s="11"/>
      <c r="H19" s="11"/>
      <c r="I19" s="11"/>
      <c r="J19" s="11"/>
      <c r="K19" s="11"/>
      <c r="L19" s="11"/>
      <c r="M19" s="11"/>
      <c r="N19" s="11"/>
      <c r="O19" s="11"/>
      <c r="P19" s="11"/>
      <c r="Q19" s="11"/>
      <c r="R19" s="11"/>
      <c r="S19" s="11"/>
      <c r="T19" s="11"/>
      <c r="U19" s="11"/>
      <c r="V19" s="11"/>
      <c r="W19" s="11"/>
    </row>
    <row r="20">
      <c r="A20" s="11"/>
      <c r="B20" s="11"/>
      <c r="C20" s="11"/>
      <c r="D20" s="11"/>
      <c r="E20" s="11"/>
      <c r="F20" s="11"/>
      <c r="G20" s="11"/>
      <c r="H20" s="11"/>
      <c r="I20" s="11"/>
      <c r="J20" s="11"/>
      <c r="K20" s="11"/>
      <c r="L20" s="11"/>
      <c r="M20" s="11"/>
      <c r="N20" s="11"/>
      <c r="O20" s="11"/>
      <c r="P20" s="11"/>
      <c r="Q20" s="11"/>
      <c r="R20" s="11"/>
      <c r="S20" s="11"/>
      <c r="T20" s="11"/>
      <c r="U20" s="11"/>
      <c r="V20" s="11"/>
      <c r="W20" s="11"/>
    </row>
    <row r="21">
      <c r="A21" s="11"/>
      <c r="B21" s="11"/>
      <c r="C21" s="11"/>
      <c r="D21" s="11"/>
      <c r="E21" s="11"/>
      <c r="F21" s="11"/>
      <c r="G21" s="11"/>
      <c r="H21" s="11"/>
      <c r="I21" s="11"/>
      <c r="J21" s="11"/>
      <c r="K21" s="11"/>
      <c r="L21" s="11"/>
      <c r="M21" s="11"/>
      <c r="N21" s="11"/>
      <c r="O21" s="11"/>
      <c r="P21" s="11"/>
      <c r="Q21" s="11"/>
      <c r="R21" s="11"/>
      <c r="S21" s="11"/>
      <c r="T21" s="11"/>
      <c r="U21" s="11"/>
      <c r="V21" s="11"/>
      <c r="W21" s="11"/>
    </row>
    <row r="22">
      <c r="A22" s="11"/>
      <c r="B22" s="11"/>
      <c r="C22" s="11"/>
      <c r="D22" s="11"/>
      <c r="E22" s="11"/>
      <c r="F22" s="11"/>
      <c r="G22" s="11"/>
      <c r="H22" s="11"/>
      <c r="I22" s="11"/>
      <c r="J22" s="11"/>
      <c r="K22" s="11"/>
      <c r="L22" s="11"/>
      <c r="M22" s="11"/>
      <c r="N22" s="11"/>
      <c r="O22" s="11"/>
      <c r="P22" s="11"/>
      <c r="Q22" s="11"/>
      <c r="R22" s="11"/>
      <c r="S22" s="11"/>
      <c r="T22" s="11"/>
      <c r="U22" s="11"/>
      <c r="V22" s="11"/>
      <c r="W22" s="11"/>
    </row>
    <row r="23">
      <c r="A23" s="11"/>
      <c r="B23" s="11"/>
      <c r="C23" s="11"/>
      <c r="D23" s="11"/>
      <c r="E23" s="11"/>
      <c r="F23" s="11"/>
      <c r="G23" s="11"/>
      <c r="H23" s="11"/>
      <c r="I23" s="11"/>
      <c r="J23" s="11"/>
      <c r="K23" s="11"/>
      <c r="L23" s="11"/>
      <c r="M23" s="11"/>
      <c r="N23" s="11"/>
      <c r="O23" s="11"/>
      <c r="P23" s="11"/>
      <c r="Q23" s="11"/>
      <c r="R23" s="11"/>
      <c r="S23" s="11"/>
      <c r="T23" s="11"/>
      <c r="U23" s="11"/>
      <c r="V23" s="11"/>
      <c r="W23" s="11"/>
    </row>
    <row r="24">
      <c r="A24" s="11"/>
      <c r="B24" s="11"/>
      <c r="C24" s="11"/>
      <c r="D24" s="11"/>
      <c r="E24" s="11"/>
      <c r="F24" s="11"/>
      <c r="G24" s="11"/>
      <c r="H24" s="11"/>
      <c r="I24" s="11"/>
      <c r="J24" s="11"/>
      <c r="K24" s="11"/>
      <c r="L24" s="11"/>
      <c r="M24" s="11"/>
      <c r="N24" s="11"/>
      <c r="O24" s="11"/>
      <c r="P24" s="11"/>
      <c r="Q24" s="11"/>
      <c r="R24" s="11"/>
      <c r="S24" s="11"/>
      <c r="T24" s="11"/>
      <c r="U24" s="11"/>
      <c r="V24" s="11"/>
      <c r="W24" s="11"/>
    </row>
    <row r="25">
      <c r="A25" s="11"/>
      <c r="B25" s="11"/>
      <c r="C25" s="11"/>
      <c r="D25" s="11"/>
      <c r="E25" s="11"/>
      <c r="F25" s="11"/>
      <c r="G25" s="11"/>
      <c r="H25" s="11"/>
      <c r="I25" s="11"/>
      <c r="J25" s="11"/>
      <c r="K25" s="11"/>
      <c r="L25" s="11"/>
      <c r="M25" s="11"/>
      <c r="N25" s="11"/>
      <c r="O25" s="11"/>
      <c r="P25" s="11"/>
      <c r="Q25" s="11"/>
      <c r="R25" s="11"/>
      <c r="S25" s="11"/>
      <c r="T25" s="11"/>
      <c r="U25" s="11"/>
      <c r="V25" s="11"/>
      <c r="W25" s="11"/>
    </row>
    <row r="26">
      <c r="A26" s="11"/>
      <c r="B26" s="11"/>
      <c r="C26" s="11"/>
      <c r="D26" s="11"/>
      <c r="E26" s="11"/>
      <c r="F26" s="11"/>
      <c r="G26" s="11"/>
      <c r="H26" s="11"/>
      <c r="I26" s="11"/>
      <c r="J26" s="11"/>
      <c r="K26" s="11"/>
      <c r="L26" s="11"/>
      <c r="M26" s="11"/>
      <c r="N26" s="11"/>
      <c r="O26" s="11"/>
      <c r="P26" s="11"/>
      <c r="Q26" s="11"/>
      <c r="R26" s="11"/>
      <c r="S26" s="11"/>
      <c r="T26" s="11"/>
      <c r="U26" s="11"/>
      <c r="V26" s="11"/>
      <c r="W26" s="11"/>
    </row>
    <row r="27">
      <c r="A27" s="11"/>
      <c r="B27" s="11"/>
      <c r="C27" s="11"/>
      <c r="D27" s="11"/>
      <c r="E27" s="11"/>
      <c r="F27" s="11"/>
      <c r="G27" s="11"/>
      <c r="H27" s="11"/>
      <c r="I27" s="11"/>
      <c r="J27" s="11"/>
      <c r="K27" s="11"/>
      <c r="L27" s="11"/>
      <c r="M27" s="11"/>
      <c r="N27" s="11"/>
      <c r="O27" s="11"/>
      <c r="P27" s="11"/>
      <c r="Q27" s="11"/>
      <c r="R27" s="11"/>
      <c r="S27" s="11"/>
      <c r="T27" s="11"/>
      <c r="U27" s="11"/>
      <c r="V27" s="11"/>
      <c r="W27" s="11"/>
    </row>
    <row r="28">
      <c r="A28" s="11"/>
      <c r="B28" s="11"/>
      <c r="C28" s="11"/>
      <c r="D28" s="11"/>
      <c r="E28" s="11"/>
      <c r="F28" s="11"/>
      <c r="G28" s="11"/>
      <c r="H28" s="11"/>
      <c r="I28" s="11"/>
      <c r="J28" s="11"/>
      <c r="K28" s="11"/>
      <c r="L28" s="11"/>
      <c r="M28" s="11"/>
      <c r="N28" s="11"/>
      <c r="O28" s="11"/>
      <c r="P28" s="11"/>
      <c r="Q28" s="11"/>
      <c r="R28" s="11"/>
      <c r="S28" s="11"/>
      <c r="T28" s="11"/>
      <c r="U28" s="11"/>
      <c r="V28" s="11"/>
      <c r="W28" s="11"/>
    </row>
    <row r="29">
      <c r="A29" s="11"/>
      <c r="B29" s="11"/>
      <c r="C29" s="11"/>
      <c r="D29" s="11"/>
      <c r="E29" s="11"/>
      <c r="F29" s="11"/>
      <c r="G29" s="11"/>
      <c r="H29" s="11"/>
      <c r="I29" s="11"/>
      <c r="J29" s="11"/>
      <c r="K29" s="11"/>
      <c r="L29" s="11"/>
      <c r="M29" s="11"/>
      <c r="N29" s="11"/>
      <c r="O29" s="11"/>
      <c r="P29" s="11"/>
      <c r="Q29" s="11"/>
      <c r="R29" s="11"/>
      <c r="S29" s="11"/>
      <c r="T29" s="11"/>
      <c r="U29" s="11"/>
      <c r="V29" s="11"/>
      <c r="W29" s="11"/>
    </row>
    <row r="30">
      <c r="A30" s="11"/>
      <c r="B30" s="11"/>
      <c r="C30" s="11"/>
      <c r="D30" s="11"/>
      <c r="E30" s="11"/>
      <c r="F30" s="11"/>
      <c r="G30" s="11"/>
      <c r="H30" s="11"/>
      <c r="I30" s="11"/>
      <c r="J30" s="11"/>
      <c r="K30" s="11"/>
      <c r="L30" s="11"/>
      <c r="M30" s="11"/>
      <c r="N30" s="11"/>
      <c r="O30" s="11"/>
      <c r="P30" s="11"/>
      <c r="Q30" s="11"/>
      <c r="R30" s="11"/>
      <c r="S30" s="11"/>
      <c r="T30" s="11"/>
      <c r="U30" s="11"/>
      <c r="V30" s="11"/>
      <c r="W30" s="11"/>
    </row>
    <row r="31">
      <c r="A31" s="11"/>
      <c r="B31" s="11"/>
      <c r="C31" s="11"/>
      <c r="D31" s="11"/>
      <c r="E31" s="11"/>
      <c r="F31" s="11"/>
      <c r="G31" s="11"/>
      <c r="H31" s="11"/>
      <c r="I31" s="11"/>
      <c r="J31" s="11"/>
      <c r="K31" s="11"/>
      <c r="L31" s="11"/>
      <c r="M31" s="11"/>
      <c r="N31" s="11"/>
      <c r="O31" s="11"/>
      <c r="P31" s="11"/>
      <c r="Q31" s="11"/>
      <c r="R31" s="11"/>
      <c r="S31" s="11"/>
      <c r="T31" s="11"/>
      <c r="U31" s="11"/>
      <c r="V31" s="11"/>
      <c r="W31" s="11"/>
    </row>
    <row r="32">
      <c r="A32" s="11"/>
      <c r="B32" s="11"/>
      <c r="C32" s="11"/>
      <c r="D32" s="11"/>
      <c r="E32" s="11"/>
      <c r="F32" s="11"/>
      <c r="G32" s="11"/>
      <c r="H32" s="11"/>
      <c r="I32" s="11"/>
      <c r="J32" s="11"/>
      <c r="K32" s="11"/>
      <c r="L32" s="11"/>
      <c r="M32" s="11"/>
      <c r="N32" s="11"/>
      <c r="O32" s="11"/>
      <c r="P32" s="11"/>
      <c r="Q32" s="11"/>
      <c r="R32" s="11"/>
      <c r="S32" s="11"/>
      <c r="T32" s="11"/>
      <c r="U32" s="11"/>
      <c r="V32" s="11"/>
      <c r="W32" s="11"/>
    </row>
    <row r="33">
      <c r="A33" s="11"/>
      <c r="B33" s="11"/>
      <c r="C33" s="11"/>
      <c r="D33" s="11"/>
      <c r="E33" s="11"/>
      <c r="F33" s="11"/>
      <c r="G33" s="11"/>
      <c r="H33" s="11"/>
      <c r="I33" s="11"/>
      <c r="J33" s="11"/>
      <c r="K33" s="11"/>
      <c r="L33" s="11"/>
      <c r="M33" s="11"/>
      <c r="N33" s="11"/>
      <c r="O33" s="11"/>
      <c r="P33" s="11"/>
      <c r="Q33" s="11"/>
      <c r="R33" s="11"/>
      <c r="S33" s="11"/>
      <c r="T33" s="11"/>
      <c r="U33" s="11"/>
      <c r="V33" s="11"/>
      <c r="W33" s="11"/>
    </row>
    <row r="34">
      <c r="A34" s="11"/>
      <c r="B34" s="11"/>
      <c r="C34" s="11"/>
      <c r="D34" s="11"/>
      <c r="E34" s="11"/>
      <c r="F34" s="11"/>
      <c r="G34" s="11"/>
      <c r="H34" s="11"/>
      <c r="I34" s="11"/>
      <c r="J34" s="11"/>
      <c r="K34" s="11"/>
      <c r="L34" s="11"/>
      <c r="M34" s="11"/>
      <c r="N34" s="11"/>
      <c r="O34" s="11"/>
      <c r="P34" s="11"/>
      <c r="Q34" s="11"/>
      <c r="R34" s="11"/>
      <c r="S34" s="11"/>
      <c r="T34" s="11"/>
      <c r="U34" s="11"/>
      <c r="V34" s="11"/>
      <c r="W34" s="11"/>
    </row>
    <row r="35">
      <c r="A35" s="11"/>
      <c r="B35" s="11"/>
      <c r="C35" s="11"/>
      <c r="D35" s="11"/>
      <c r="E35" s="11"/>
      <c r="F35" s="11"/>
      <c r="G35" s="11"/>
      <c r="H35" s="11"/>
      <c r="I35" s="11"/>
      <c r="J35" s="11"/>
      <c r="K35" s="11"/>
      <c r="L35" s="11"/>
      <c r="M35" s="11"/>
      <c r="N35" s="11"/>
      <c r="O35" s="11"/>
      <c r="P35" s="11"/>
      <c r="Q35" s="11"/>
      <c r="R35" s="11"/>
      <c r="S35" s="11"/>
      <c r="T35" s="11"/>
      <c r="U35" s="11"/>
      <c r="V35" s="11"/>
      <c r="W35" s="11"/>
    </row>
    <row r="36">
      <c r="A36" s="11"/>
      <c r="B36" s="11"/>
      <c r="C36" s="11"/>
      <c r="D36" s="11"/>
      <c r="E36" s="11"/>
      <c r="F36" s="11"/>
      <c r="G36" s="11"/>
      <c r="H36" s="11"/>
      <c r="I36" s="11"/>
      <c r="J36" s="11"/>
      <c r="K36" s="11"/>
      <c r="L36" s="11"/>
      <c r="M36" s="11"/>
      <c r="N36" s="11"/>
      <c r="O36" s="11"/>
      <c r="P36" s="11"/>
      <c r="Q36" s="11"/>
      <c r="R36" s="11"/>
      <c r="S36" s="11"/>
      <c r="T36" s="11"/>
      <c r="U36" s="11"/>
      <c r="V36" s="11"/>
      <c r="W36" s="11"/>
    </row>
    <row r="37">
      <c r="A37" s="11"/>
      <c r="B37" s="11"/>
      <c r="C37" s="11"/>
      <c r="D37" s="11"/>
      <c r="E37" s="11"/>
      <c r="F37" s="11"/>
      <c r="G37" s="11"/>
      <c r="H37" s="11"/>
      <c r="I37" s="11"/>
      <c r="J37" s="11"/>
      <c r="K37" s="11"/>
      <c r="L37" s="11"/>
      <c r="M37" s="11"/>
      <c r="N37" s="11"/>
      <c r="O37" s="11"/>
      <c r="P37" s="11"/>
      <c r="Q37" s="11"/>
      <c r="R37" s="11"/>
      <c r="S37" s="11"/>
      <c r="T37" s="11"/>
      <c r="U37" s="11"/>
      <c r="V37" s="11"/>
      <c r="W37" s="11"/>
    </row>
    <row r="38">
      <c r="A38" s="11"/>
      <c r="B38" s="11"/>
      <c r="C38" s="11"/>
      <c r="D38" s="11"/>
      <c r="E38" s="11"/>
      <c r="F38" s="11"/>
      <c r="G38" s="11"/>
      <c r="H38" s="11"/>
      <c r="I38" s="11"/>
      <c r="J38" s="11"/>
      <c r="K38" s="11"/>
      <c r="L38" s="11"/>
      <c r="M38" s="11"/>
      <c r="N38" s="11"/>
      <c r="O38" s="11"/>
      <c r="P38" s="11"/>
      <c r="Q38" s="11"/>
      <c r="R38" s="11"/>
      <c r="S38" s="11"/>
      <c r="T38" s="11"/>
      <c r="U38" s="11"/>
      <c r="V38" s="11"/>
      <c r="W38" s="11"/>
    </row>
    <row r="39">
      <c r="A39" s="11"/>
      <c r="B39" s="11"/>
      <c r="C39" s="11"/>
      <c r="D39" s="11"/>
      <c r="E39" s="11"/>
      <c r="F39" s="11"/>
      <c r="G39" s="11"/>
      <c r="H39" s="11"/>
      <c r="I39" s="11"/>
      <c r="J39" s="11"/>
      <c r="K39" s="11"/>
      <c r="L39" s="11"/>
      <c r="M39" s="11"/>
      <c r="N39" s="11"/>
      <c r="O39" s="11"/>
      <c r="P39" s="11"/>
      <c r="Q39" s="11"/>
      <c r="R39" s="11"/>
      <c r="S39" s="11"/>
      <c r="T39" s="11"/>
      <c r="U39" s="11"/>
      <c r="V39" s="11"/>
      <c r="W39" s="11"/>
    </row>
    <row r="40">
      <c r="A40" s="11"/>
      <c r="B40" s="11"/>
      <c r="C40" s="11"/>
      <c r="D40" s="11"/>
      <c r="E40" s="11"/>
      <c r="F40" s="11"/>
      <c r="G40" s="11"/>
      <c r="H40" s="11"/>
      <c r="I40" s="11"/>
      <c r="J40" s="11"/>
      <c r="K40" s="11"/>
      <c r="L40" s="11"/>
      <c r="M40" s="11"/>
      <c r="N40" s="11"/>
      <c r="O40" s="11"/>
      <c r="P40" s="11"/>
      <c r="Q40" s="11"/>
      <c r="R40" s="11"/>
      <c r="S40" s="11"/>
      <c r="T40" s="11"/>
      <c r="U40" s="11"/>
      <c r="V40" s="11"/>
      <c r="W40" s="11"/>
    </row>
    <row r="41">
      <c r="A41" s="11"/>
      <c r="B41" s="11"/>
      <c r="C41" s="11"/>
      <c r="D41" s="11"/>
      <c r="E41" s="11"/>
      <c r="F41" s="11"/>
      <c r="G41" s="11"/>
      <c r="H41" s="11"/>
      <c r="I41" s="11"/>
      <c r="J41" s="11"/>
      <c r="K41" s="11"/>
      <c r="L41" s="11"/>
      <c r="M41" s="11"/>
      <c r="N41" s="11"/>
      <c r="O41" s="11"/>
      <c r="P41" s="11"/>
      <c r="Q41" s="11"/>
      <c r="R41" s="11"/>
      <c r="S41" s="11"/>
      <c r="T41" s="11"/>
      <c r="U41" s="11"/>
      <c r="V41" s="11"/>
      <c r="W41" s="11"/>
    </row>
    <row r="42">
      <c r="A42" s="11"/>
      <c r="B42" s="11"/>
      <c r="C42" s="11"/>
      <c r="D42" s="11"/>
      <c r="E42" s="11"/>
      <c r="F42" s="11"/>
      <c r="G42" s="11"/>
      <c r="H42" s="11"/>
      <c r="I42" s="11"/>
      <c r="J42" s="11"/>
      <c r="K42" s="11"/>
      <c r="L42" s="11"/>
      <c r="M42" s="11"/>
      <c r="N42" s="11"/>
      <c r="O42" s="11"/>
      <c r="P42" s="11"/>
      <c r="Q42" s="11"/>
      <c r="R42" s="11"/>
      <c r="S42" s="11"/>
      <c r="T42" s="11"/>
      <c r="U42" s="11"/>
      <c r="V42" s="11"/>
      <c r="W42" s="11"/>
    </row>
    <row r="43">
      <c r="A43" s="11"/>
      <c r="B43" s="11"/>
      <c r="C43" s="11"/>
      <c r="D43" s="11"/>
      <c r="E43" s="11"/>
      <c r="F43" s="11"/>
      <c r="G43" s="11"/>
      <c r="H43" s="11"/>
      <c r="I43" s="11"/>
      <c r="J43" s="11"/>
      <c r="K43" s="11"/>
      <c r="L43" s="11"/>
      <c r="M43" s="11"/>
      <c r="N43" s="11"/>
      <c r="O43" s="11"/>
      <c r="P43" s="11"/>
      <c r="Q43" s="11"/>
      <c r="R43" s="11"/>
      <c r="S43" s="11"/>
      <c r="T43" s="11"/>
      <c r="U43" s="11"/>
      <c r="V43" s="11"/>
      <c r="W43" s="11"/>
    </row>
    <row r="44">
      <c r="A44" s="11"/>
      <c r="B44" s="11"/>
      <c r="C44" s="11"/>
      <c r="D44" s="11"/>
      <c r="E44" s="11"/>
      <c r="F44" s="11"/>
      <c r="G44" s="11"/>
      <c r="H44" s="11"/>
      <c r="I44" s="11"/>
      <c r="J44" s="11"/>
      <c r="K44" s="11"/>
      <c r="L44" s="11"/>
      <c r="M44" s="11"/>
      <c r="N44" s="11"/>
      <c r="O44" s="11"/>
      <c r="P44" s="11"/>
      <c r="Q44" s="11"/>
      <c r="R44" s="11"/>
      <c r="S44" s="11"/>
      <c r="T44" s="11"/>
      <c r="U44" s="11"/>
      <c r="V44" s="11"/>
      <c r="W44" s="11"/>
    </row>
    <row r="45">
      <c r="A45" s="11"/>
      <c r="B45" s="11"/>
      <c r="C45" s="11"/>
      <c r="D45" s="11"/>
      <c r="E45" s="11"/>
      <c r="F45" s="11"/>
      <c r="G45" s="11"/>
      <c r="H45" s="11"/>
      <c r="I45" s="11"/>
      <c r="J45" s="11"/>
      <c r="K45" s="11"/>
      <c r="L45" s="11"/>
      <c r="M45" s="11"/>
      <c r="N45" s="11"/>
      <c r="O45" s="11"/>
      <c r="P45" s="11"/>
      <c r="Q45" s="11"/>
      <c r="R45" s="11"/>
      <c r="S45" s="11"/>
      <c r="T45" s="11"/>
      <c r="U45" s="11"/>
      <c r="V45" s="11"/>
      <c r="W45" s="11"/>
    </row>
    <row r="46">
      <c r="A46" s="11"/>
      <c r="B46" s="11"/>
      <c r="C46" s="11"/>
      <c r="D46" s="11"/>
      <c r="E46" s="11"/>
      <c r="F46" s="11"/>
      <c r="G46" s="11"/>
      <c r="H46" s="11"/>
      <c r="I46" s="11"/>
      <c r="J46" s="11"/>
      <c r="K46" s="11"/>
      <c r="L46" s="11"/>
      <c r="M46" s="11"/>
      <c r="N46" s="11"/>
      <c r="O46" s="11"/>
      <c r="P46" s="11"/>
      <c r="Q46" s="11"/>
      <c r="R46" s="11"/>
      <c r="S46" s="11"/>
      <c r="T46" s="11"/>
      <c r="U46" s="11"/>
      <c r="V46" s="11"/>
      <c r="W46" s="11"/>
    </row>
    <row r="47">
      <c r="A47" s="11"/>
      <c r="B47" s="11"/>
      <c r="C47" s="11"/>
      <c r="D47" s="11"/>
      <c r="E47" s="11"/>
      <c r="F47" s="11"/>
      <c r="G47" s="11"/>
      <c r="H47" s="11"/>
      <c r="I47" s="11"/>
      <c r="J47" s="11"/>
      <c r="K47" s="11"/>
      <c r="L47" s="11"/>
      <c r="M47" s="11"/>
      <c r="N47" s="11"/>
      <c r="O47" s="11"/>
      <c r="P47" s="11"/>
      <c r="Q47" s="11"/>
      <c r="R47" s="11"/>
      <c r="S47" s="11"/>
      <c r="T47" s="11"/>
      <c r="U47" s="11"/>
      <c r="V47" s="11"/>
      <c r="W47" s="11"/>
    </row>
    <row r="48">
      <c r="A48" s="11"/>
      <c r="B48" s="11"/>
      <c r="C48" s="11"/>
      <c r="D48" s="11"/>
      <c r="E48" s="11"/>
      <c r="F48" s="11"/>
      <c r="G48" s="11"/>
      <c r="H48" s="11"/>
      <c r="I48" s="11"/>
      <c r="J48" s="11"/>
      <c r="K48" s="11"/>
      <c r="L48" s="11"/>
      <c r="M48" s="11"/>
      <c r="N48" s="11"/>
      <c r="O48" s="11"/>
      <c r="P48" s="11"/>
      <c r="Q48" s="11"/>
      <c r="R48" s="11"/>
      <c r="S48" s="11"/>
      <c r="T48" s="11"/>
      <c r="U48" s="11"/>
      <c r="V48" s="11"/>
      <c r="W48" s="11"/>
    </row>
    <row r="49">
      <c r="A49" s="11"/>
      <c r="B49" s="11"/>
      <c r="C49" s="11"/>
      <c r="D49" s="11"/>
      <c r="E49" s="11"/>
      <c r="F49" s="11"/>
      <c r="G49" s="11"/>
      <c r="H49" s="11"/>
      <c r="I49" s="11"/>
      <c r="J49" s="11"/>
      <c r="K49" s="11"/>
      <c r="L49" s="11"/>
      <c r="M49" s="11"/>
      <c r="N49" s="11"/>
      <c r="O49" s="11"/>
      <c r="P49" s="11"/>
      <c r="Q49" s="11"/>
      <c r="R49" s="11"/>
      <c r="S49" s="11"/>
      <c r="T49" s="11"/>
      <c r="U49" s="11"/>
      <c r="V49" s="11"/>
      <c r="W49" s="11"/>
    </row>
    <row r="50">
      <c r="A50" s="11"/>
      <c r="B50" s="11"/>
      <c r="C50" s="11"/>
      <c r="D50" s="11"/>
      <c r="E50" s="11"/>
      <c r="F50" s="11"/>
      <c r="G50" s="11"/>
      <c r="H50" s="11"/>
      <c r="I50" s="11"/>
      <c r="J50" s="11"/>
      <c r="K50" s="11"/>
      <c r="L50" s="11"/>
      <c r="M50" s="11"/>
      <c r="N50" s="11"/>
      <c r="O50" s="11"/>
      <c r="P50" s="11"/>
      <c r="Q50" s="11"/>
      <c r="R50" s="11"/>
      <c r="S50" s="11"/>
      <c r="T50" s="11"/>
      <c r="U50" s="11"/>
      <c r="V50" s="11"/>
      <c r="W50" s="11"/>
    </row>
    <row r="51">
      <c r="A51" s="11"/>
      <c r="B51" s="11"/>
      <c r="C51" s="11"/>
      <c r="D51" s="11"/>
      <c r="E51" s="11"/>
      <c r="F51" s="11"/>
      <c r="G51" s="11"/>
      <c r="H51" s="11"/>
      <c r="I51" s="11"/>
      <c r="J51" s="11"/>
      <c r="K51" s="11"/>
      <c r="L51" s="11"/>
      <c r="M51" s="11"/>
      <c r="N51" s="11"/>
      <c r="O51" s="11"/>
      <c r="P51" s="11"/>
      <c r="Q51" s="11"/>
      <c r="R51" s="11"/>
      <c r="S51" s="11"/>
      <c r="T51" s="11"/>
      <c r="U51" s="11"/>
      <c r="V51" s="11"/>
      <c r="W51" s="11"/>
    </row>
    <row r="52">
      <c r="A52" s="11"/>
      <c r="B52" s="11"/>
      <c r="C52" s="11"/>
      <c r="D52" s="11"/>
      <c r="E52" s="11"/>
      <c r="F52" s="11"/>
      <c r="G52" s="11"/>
      <c r="H52" s="11"/>
      <c r="I52" s="11"/>
      <c r="J52" s="11"/>
      <c r="K52" s="11"/>
      <c r="L52" s="11"/>
      <c r="M52" s="11"/>
      <c r="N52" s="11"/>
      <c r="O52" s="11"/>
      <c r="P52" s="11"/>
      <c r="Q52" s="11"/>
      <c r="R52" s="11"/>
      <c r="S52" s="11"/>
      <c r="T52" s="11"/>
      <c r="U52" s="11"/>
      <c r="V52" s="11"/>
      <c r="W52" s="11"/>
    </row>
    <row r="53">
      <c r="A53" s="11"/>
      <c r="B53" s="11"/>
      <c r="C53" s="11"/>
      <c r="D53" s="11"/>
      <c r="E53" s="11"/>
      <c r="F53" s="11"/>
      <c r="G53" s="11"/>
      <c r="H53" s="11"/>
      <c r="I53" s="11"/>
      <c r="J53" s="11"/>
      <c r="K53" s="11"/>
      <c r="L53" s="11"/>
      <c r="M53" s="11"/>
      <c r="N53" s="11"/>
      <c r="O53" s="11"/>
      <c r="P53" s="11"/>
      <c r="Q53" s="11"/>
      <c r="R53" s="11"/>
      <c r="S53" s="11"/>
      <c r="T53" s="11"/>
      <c r="U53" s="11"/>
      <c r="V53" s="11"/>
      <c r="W53" s="11"/>
    </row>
    <row r="54">
      <c r="A54" s="11"/>
      <c r="B54" s="11"/>
      <c r="C54" s="11"/>
      <c r="D54" s="11"/>
      <c r="E54" s="11"/>
      <c r="F54" s="11"/>
      <c r="G54" s="11"/>
      <c r="H54" s="11"/>
      <c r="I54" s="11"/>
      <c r="J54" s="11"/>
      <c r="K54" s="11"/>
      <c r="L54" s="11"/>
      <c r="M54" s="11"/>
      <c r="N54" s="11"/>
      <c r="O54" s="11"/>
      <c r="P54" s="11"/>
      <c r="Q54" s="11"/>
      <c r="R54" s="11"/>
      <c r="S54" s="11"/>
      <c r="T54" s="11"/>
      <c r="U54" s="11"/>
      <c r="V54" s="11"/>
      <c r="W54" s="11"/>
    </row>
    <row r="55">
      <c r="A55" s="11"/>
      <c r="B55" s="11"/>
      <c r="C55" s="11"/>
      <c r="D55" s="11"/>
      <c r="E55" s="11"/>
      <c r="F55" s="11"/>
      <c r="G55" s="11"/>
      <c r="H55" s="11"/>
      <c r="I55" s="11"/>
      <c r="J55" s="11"/>
      <c r="K55" s="11"/>
      <c r="L55" s="11"/>
      <c r="M55" s="11"/>
      <c r="N55" s="11"/>
      <c r="O55" s="11"/>
      <c r="P55" s="11"/>
      <c r="Q55" s="11"/>
      <c r="R55" s="11"/>
      <c r="S55" s="11"/>
      <c r="T55" s="11"/>
      <c r="U55" s="11"/>
      <c r="V55" s="11"/>
      <c r="W55" s="11"/>
    </row>
    <row r="56">
      <c r="A56" s="11"/>
      <c r="B56" s="11"/>
      <c r="C56" s="11"/>
      <c r="D56" s="11"/>
      <c r="E56" s="11"/>
      <c r="F56" s="11"/>
      <c r="G56" s="11"/>
      <c r="H56" s="11"/>
      <c r="I56" s="11"/>
      <c r="J56" s="11"/>
      <c r="K56" s="11"/>
      <c r="L56" s="11"/>
      <c r="M56" s="11"/>
      <c r="N56" s="11"/>
      <c r="O56" s="11"/>
      <c r="P56" s="11"/>
      <c r="Q56" s="11"/>
      <c r="R56" s="11"/>
      <c r="S56" s="11"/>
      <c r="T56" s="11"/>
      <c r="U56" s="11"/>
      <c r="V56" s="11"/>
      <c r="W56" s="11"/>
    </row>
    <row r="57">
      <c r="A57" s="11"/>
      <c r="B57" s="11"/>
      <c r="C57" s="11"/>
      <c r="D57" s="11"/>
      <c r="E57" s="11"/>
      <c r="F57" s="11"/>
      <c r="G57" s="11"/>
      <c r="H57" s="11"/>
      <c r="I57" s="11"/>
      <c r="J57" s="11"/>
      <c r="K57" s="11"/>
      <c r="L57" s="11"/>
      <c r="M57" s="11"/>
      <c r="N57" s="11"/>
      <c r="O57" s="11"/>
      <c r="P57" s="11"/>
      <c r="Q57" s="11"/>
      <c r="R57" s="11"/>
      <c r="S57" s="11"/>
      <c r="T57" s="11"/>
      <c r="U57" s="11"/>
      <c r="V57" s="11"/>
      <c r="W57" s="11"/>
    </row>
    <row r="58">
      <c r="A58" s="11"/>
      <c r="B58" s="11"/>
      <c r="C58" s="11"/>
      <c r="D58" s="11"/>
      <c r="E58" s="11"/>
      <c r="F58" s="11"/>
      <c r="G58" s="11"/>
      <c r="H58" s="11"/>
      <c r="I58" s="11"/>
      <c r="J58" s="11"/>
      <c r="K58" s="11"/>
      <c r="L58" s="11"/>
      <c r="M58" s="11"/>
      <c r="N58" s="11"/>
      <c r="O58" s="11"/>
      <c r="P58" s="11"/>
      <c r="Q58" s="11"/>
      <c r="R58" s="11"/>
      <c r="S58" s="11"/>
      <c r="T58" s="11"/>
      <c r="U58" s="11"/>
      <c r="V58" s="11"/>
      <c r="W58" s="11"/>
    </row>
    <row r="59">
      <c r="A59" s="11"/>
      <c r="B59" s="11"/>
      <c r="C59" s="11"/>
      <c r="D59" s="11"/>
      <c r="E59" s="11"/>
      <c r="F59" s="11"/>
      <c r="G59" s="11"/>
      <c r="H59" s="11"/>
      <c r="I59" s="11"/>
      <c r="J59" s="11"/>
      <c r="K59" s="11"/>
      <c r="L59" s="11"/>
      <c r="M59" s="11"/>
      <c r="N59" s="11"/>
      <c r="O59" s="11"/>
      <c r="P59" s="11"/>
      <c r="Q59" s="11"/>
      <c r="R59" s="11"/>
      <c r="S59" s="11"/>
      <c r="T59" s="11"/>
      <c r="U59" s="11"/>
      <c r="V59" s="11"/>
      <c r="W59" s="11"/>
    </row>
    <row r="60">
      <c r="A60" s="11"/>
      <c r="B60" s="11"/>
      <c r="C60" s="11"/>
      <c r="D60" s="11"/>
      <c r="E60" s="11"/>
      <c r="F60" s="11"/>
      <c r="G60" s="11"/>
      <c r="H60" s="11"/>
      <c r="I60" s="11"/>
      <c r="J60" s="11"/>
      <c r="K60" s="11"/>
      <c r="L60" s="11"/>
      <c r="M60" s="11"/>
      <c r="N60" s="11"/>
      <c r="O60" s="11"/>
      <c r="P60" s="11"/>
      <c r="Q60" s="11"/>
      <c r="R60" s="11"/>
      <c r="S60" s="11"/>
      <c r="T60" s="11"/>
      <c r="U60" s="11"/>
      <c r="V60" s="11"/>
      <c r="W60" s="11"/>
    </row>
    <row r="61">
      <c r="A61" s="11"/>
      <c r="B61" s="11"/>
      <c r="C61" s="11"/>
      <c r="D61" s="11"/>
      <c r="E61" s="11"/>
      <c r="F61" s="11"/>
      <c r="G61" s="11"/>
      <c r="H61" s="11"/>
      <c r="I61" s="11"/>
      <c r="J61" s="11"/>
      <c r="K61" s="11"/>
      <c r="L61" s="11"/>
      <c r="M61" s="11"/>
      <c r="N61" s="11"/>
      <c r="O61" s="11"/>
      <c r="P61" s="11"/>
      <c r="Q61" s="11"/>
      <c r="R61" s="11"/>
      <c r="S61" s="11"/>
      <c r="T61" s="11"/>
      <c r="U61" s="11"/>
      <c r="V61" s="11"/>
      <c r="W61" s="11"/>
    </row>
    <row r="62">
      <c r="A62" s="11"/>
      <c r="B62" s="11"/>
      <c r="C62" s="11"/>
      <c r="D62" s="11"/>
      <c r="E62" s="11"/>
      <c r="F62" s="11"/>
      <c r="G62" s="11"/>
      <c r="H62" s="11"/>
      <c r="I62" s="11"/>
      <c r="J62" s="11"/>
      <c r="K62" s="11"/>
      <c r="L62" s="11"/>
      <c r="M62" s="11"/>
      <c r="N62" s="11"/>
      <c r="O62" s="11"/>
      <c r="P62" s="11"/>
      <c r="Q62" s="11"/>
      <c r="R62" s="11"/>
      <c r="S62" s="11"/>
      <c r="T62" s="11"/>
      <c r="U62" s="11"/>
      <c r="V62" s="11"/>
      <c r="W62" s="11"/>
    </row>
    <row r="63">
      <c r="A63" s="11"/>
      <c r="B63" s="11"/>
      <c r="C63" s="11"/>
      <c r="D63" s="11"/>
      <c r="E63" s="11"/>
      <c r="F63" s="11"/>
      <c r="G63" s="11"/>
      <c r="H63" s="11"/>
      <c r="I63" s="11"/>
      <c r="J63" s="11"/>
      <c r="K63" s="11"/>
      <c r="L63" s="11"/>
      <c r="M63" s="11"/>
      <c r="N63" s="11"/>
      <c r="O63" s="11"/>
      <c r="P63" s="11"/>
      <c r="Q63" s="11"/>
      <c r="R63" s="11"/>
      <c r="S63" s="11"/>
      <c r="T63" s="11"/>
      <c r="U63" s="11"/>
      <c r="V63" s="11"/>
      <c r="W63" s="11"/>
    </row>
    <row r="64">
      <c r="A64" s="11"/>
      <c r="B64" s="11"/>
      <c r="C64" s="11"/>
      <c r="D64" s="11"/>
      <c r="E64" s="11"/>
      <c r="F64" s="11"/>
      <c r="G64" s="11"/>
      <c r="H64" s="11"/>
      <c r="I64" s="11"/>
      <c r="J64" s="11"/>
      <c r="K64" s="11"/>
      <c r="L64" s="11"/>
      <c r="M64" s="11"/>
      <c r="N64" s="11"/>
      <c r="O64" s="11"/>
      <c r="P64" s="11"/>
      <c r="Q64" s="11"/>
      <c r="R64" s="11"/>
      <c r="S64" s="11"/>
      <c r="T64" s="11"/>
      <c r="U64" s="11"/>
      <c r="V64" s="11"/>
      <c r="W64" s="11"/>
    </row>
    <row r="65">
      <c r="A65" s="11"/>
      <c r="B65" s="11"/>
      <c r="C65" s="11"/>
      <c r="D65" s="11"/>
      <c r="E65" s="11"/>
      <c r="F65" s="11"/>
      <c r="G65" s="11"/>
      <c r="H65" s="11"/>
      <c r="I65" s="11"/>
      <c r="J65" s="11"/>
      <c r="K65" s="11"/>
      <c r="L65" s="11"/>
      <c r="M65" s="11"/>
      <c r="N65" s="11"/>
      <c r="O65" s="11"/>
      <c r="P65" s="11"/>
      <c r="Q65" s="11"/>
      <c r="R65" s="11"/>
      <c r="S65" s="11"/>
      <c r="T65" s="11"/>
      <c r="U65" s="11"/>
      <c r="V65" s="11"/>
      <c r="W65" s="11"/>
    </row>
    <row r="66">
      <c r="A66" s="11"/>
      <c r="B66" s="11"/>
      <c r="C66" s="11"/>
      <c r="D66" s="11"/>
      <c r="E66" s="11"/>
      <c r="F66" s="11"/>
      <c r="G66" s="11"/>
      <c r="H66" s="11"/>
      <c r="I66" s="11"/>
      <c r="J66" s="11"/>
      <c r="K66" s="11"/>
      <c r="L66" s="11"/>
      <c r="M66" s="11"/>
      <c r="N66" s="11"/>
      <c r="O66" s="11"/>
      <c r="P66" s="11"/>
      <c r="Q66" s="11"/>
      <c r="R66" s="11"/>
      <c r="S66" s="11"/>
      <c r="T66" s="11"/>
      <c r="U66" s="11"/>
      <c r="V66" s="11"/>
      <c r="W66" s="11"/>
    </row>
    <row r="67">
      <c r="A67" s="11"/>
      <c r="B67" s="11"/>
      <c r="C67" s="11"/>
      <c r="D67" s="11"/>
      <c r="E67" s="11"/>
      <c r="F67" s="11"/>
      <c r="G67" s="11"/>
      <c r="H67" s="11"/>
      <c r="I67" s="11"/>
      <c r="J67" s="11"/>
      <c r="K67" s="11"/>
      <c r="L67" s="11"/>
      <c r="M67" s="11"/>
      <c r="N67" s="11"/>
      <c r="O67" s="11"/>
      <c r="P67" s="11"/>
      <c r="Q67" s="11"/>
      <c r="R67" s="11"/>
      <c r="S67" s="11"/>
      <c r="T67" s="11"/>
      <c r="U67" s="11"/>
      <c r="V67" s="11"/>
      <c r="W67" s="11"/>
    </row>
    <row r="68">
      <c r="A68" s="11"/>
      <c r="B68" s="11"/>
      <c r="C68" s="11"/>
      <c r="D68" s="11"/>
      <c r="E68" s="11"/>
      <c r="F68" s="11"/>
      <c r="G68" s="11"/>
      <c r="H68" s="11"/>
      <c r="I68" s="11"/>
      <c r="J68" s="11"/>
      <c r="K68" s="11"/>
      <c r="L68" s="11"/>
      <c r="M68" s="11"/>
      <c r="N68" s="11"/>
      <c r="O68" s="11"/>
      <c r="P68" s="11"/>
      <c r="Q68" s="11"/>
      <c r="R68" s="11"/>
      <c r="S68" s="11"/>
      <c r="T68" s="11"/>
      <c r="U68" s="11"/>
      <c r="V68" s="11"/>
      <c r="W68" s="11"/>
    </row>
    <row r="69">
      <c r="A69" s="11"/>
      <c r="B69" s="11"/>
      <c r="C69" s="11"/>
      <c r="D69" s="11"/>
      <c r="E69" s="11"/>
      <c r="F69" s="11"/>
      <c r="G69" s="11"/>
      <c r="H69" s="11"/>
      <c r="I69" s="11"/>
      <c r="J69" s="11"/>
      <c r="K69" s="11"/>
      <c r="L69" s="11"/>
      <c r="M69" s="11"/>
      <c r="N69" s="11"/>
      <c r="O69" s="11"/>
      <c r="P69" s="11"/>
      <c r="Q69" s="11"/>
      <c r="R69" s="11"/>
      <c r="S69" s="11"/>
      <c r="T69" s="11"/>
      <c r="U69" s="11"/>
      <c r="V69" s="11"/>
      <c r="W69" s="11"/>
    </row>
    <row r="70">
      <c r="A70" s="11"/>
      <c r="B70" s="11"/>
      <c r="C70" s="11"/>
      <c r="D70" s="11"/>
      <c r="E70" s="11"/>
      <c r="F70" s="11"/>
      <c r="G70" s="11"/>
      <c r="H70" s="11"/>
      <c r="I70" s="11"/>
      <c r="J70" s="11"/>
      <c r="K70" s="11"/>
      <c r="L70" s="11"/>
      <c r="M70" s="11"/>
      <c r="N70" s="11"/>
      <c r="O70" s="11"/>
      <c r="P70" s="11"/>
      <c r="Q70" s="11"/>
      <c r="R70" s="11"/>
      <c r="S70" s="11"/>
      <c r="T70" s="11"/>
      <c r="U70" s="11"/>
      <c r="V70" s="11"/>
      <c r="W70" s="11"/>
    </row>
    <row r="71">
      <c r="A71" s="11"/>
      <c r="B71" s="11"/>
      <c r="C71" s="11"/>
      <c r="D71" s="11"/>
      <c r="E71" s="11"/>
      <c r="F71" s="11"/>
      <c r="G71" s="11"/>
      <c r="H71" s="11"/>
      <c r="I71" s="11"/>
      <c r="J71" s="11"/>
      <c r="K71" s="11"/>
      <c r="L71" s="11"/>
      <c r="M71" s="11"/>
      <c r="N71" s="11"/>
      <c r="O71" s="11"/>
      <c r="P71" s="11"/>
      <c r="Q71" s="11"/>
      <c r="R71" s="11"/>
      <c r="S71" s="11"/>
      <c r="T71" s="11"/>
      <c r="U71" s="11"/>
      <c r="V71" s="11"/>
      <c r="W71" s="11"/>
    </row>
    <row r="72">
      <c r="A72" s="11"/>
      <c r="B72" s="11"/>
      <c r="C72" s="11"/>
      <c r="D72" s="11"/>
      <c r="E72" s="11"/>
      <c r="F72" s="11"/>
      <c r="G72" s="11"/>
      <c r="H72" s="11"/>
      <c r="I72" s="11"/>
      <c r="J72" s="11"/>
      <c r="K72" s="11"/>
      <c r="L72" s="11"/>
      <c r="M72" s="11"/>
      <c r="N72" s="11"/>
      <c r="O72" s="11"/>
      <c r="P72" s="11"/>
      <c r="Q72" s="11"/>
      <c r="R72" s="11"/>
      <c r="S72" s="11"/>
      <c r="T72" s="11"/>
      <c r="U72" s="11"/>
      <c r="V72" s="11"/>
      <c r="W72" s="11"/>
    </row>
    <row r="73">
      <c r="A73" s="11"/>
      <c r="B73" s="11"/>
      <c r="C73" s="11"/>
      <c r="D73" s="11"/>
      <c r="E73" s="11"/>
      <c r="F73" s="11"/>
      <c r="G73" s="11"/>
      <c r="H73" s="11"/>
      <c r="I73" s="11"/>
      <c r="J73" s="11"/>
      <c r="K73" s="11"/>
      <c r="L73" s="11"/>
      <c r="M73" s="11"/>
      <c r="N73" s="11"/>
      <c r="O73" s="11"/>
      <c r="P73" s="11"/>
      <c r="Q73" s="11"/>
      <c r="R73" s="11"/>
      <c r="S73" s="11"/>
      <c r="T73" s="11"/>
      <c r="U73" s="11"/>
      <c r="V73" s="11"/>
      <c r="W73" s="11"/>
    </row>
    <row r="74">
      <c r="A74" s="11"/>
      <c r="B74" s="11"/>
      <c r="C74" s="11"/>
      <c r="D74" s="11"/>
      <c r="E74" s="11"/>
      <c r="F74" s="11"/>
      <c r="G74" s="11"/>
      <c r="H74" s="11"/>
      <c r="I74" s="11"/>
      <c r="J74" s="11"/>
      <c r="K74" s="11"/>
      <c r="L74" s="11"/>
      <c r="M74" s="11"/>
      <c r="N74" s="11"/>
      <c r="O74" s="11"/>
      <c r="P74" s="11"/>
      <c r="Q74" s="11"/>
      <c r="R74" s="11"/>
      <c r="S74" s="11"/>
      <c r="T74" s="11"/>
      <c r="U74" s="11"/>
      <c r="V74" s="11"/>
      <c r="W74" s="11"/>
    </row>
    <row r="75">
      <c r="A75" s="11"/>
      <c r="B75" s="11"/>
      <c r="C75" s="11"/>
      <c r="D75" s="11"/>
      <c r="E75" s="11"/>
      <c r="F75" s="11"/>
      <c r="G75" s="11"/>
      <c r="H75" s="11"/>
      <c r="I75" s="11"/>
      <c r="J75" s="11"/>
      <c r="K75" s="11"/>
      <c r="L75" s="11"/>
      <c r="M75" s="11"/>
      <c r="N75" s="11"/>
      <c r="O75" s="11"/>
      <c r="P75" s="11"/>
      <c r="Q75" s="11"/>
      <c r="R75" s="11"/>
      <c r="S75" s="11"/>
      <c r="T75" s="11"/>
      <c r="U75" s="11"/>
      <c r="V75" s="11"/>
      <c r="W75" s="11"/>
    </row>
    <row r="76">
      <c r="A76" s="11"/>
      <c r="B76" s="11"/>
      <c r="C76" s="11"/>
      <c r="D76" s="11"/>
      <c r="E76" s="11"/>
      <c r="F76" s="11"/>
      <c r="G76" s="11"/>
      <c r="H76" s="11"/>
      <c r="I76" s="11"/>
      <c r="J76" s="11"/>
      <c r="K76" s="11"/>
      <c r="L76" s="11"/>
      <c r="M76" s="11"/>
      <c r="N76" s="11"/>
      <c r="O76" s="11"/>
      <c r="P76" s="11"/>
      <c r="Q76" s="11"/>
      <c r="R76" s="11"/>
      <c r="S76" s="11"/>
      <c r="T76" s="11"/>
      <c r="U76" s="11"/>
      <c r="V76" s="11"/>
      <c r="W76" s="11"/>
    </row>
    <row r="77">
      <c r="A77" s="11"/>
      <c r="B77" s="11"/>
      <c r="C77" s="11"/>
      <c r="D77" s="11"/>
      <c r="E77" s="11"/>
      <c r="F77" s="11"/>
      <c r="G77" s="11"/>
      <c r="H77" s="11"/>
      <c r="I77" s="11"/>
      <c r="J77" s="11"/>
      <c r="K77" s="11"/>
      <c r="L77" s="11"/>
      <c r="M77" s="11"/>
      <c r="N77" s="11"/>
      <c r="O77" s="11"/>
      <c r="P77" s="11"/>
      <c r="Q77" s="11"/>
      <c r="R77" s="11"/>
      <c r="S77" s="11"/>
      <c r="T77" s="11"/>
      <c r="U77" s="11"/>
      <c r="V77" s="11"/>
      <c r="W77" s="11"/>
    </row>
    <row r="78">
      <c r="A78" s="11"/>
      <c r="B78" s="11"/>
      <c r="C78" s="11"/>
      <c r="D78" s="11"/>
      <c r="E78" s="11"/>
      <c r="F78" s="11"/>
      <c r="G78" s="11"/>
      <c r="H78" s="11"/>
      <c r="I78" s="11"/>
      <c r="J78" s="11"/>
      <c r="K78" s="11"/>
      <c r="L78" s="11"/>
      <c r="M78" s="11"/>
      <c r="N78" s="11"/>
      <c r="O78" s="11"/>
      <c r="P78" s="11"/>
      <c r="Q78" s="11"/>
      <c r="R78" s="11"/>
      <c r="S78" s="11"/>
      <c r="T78" s="11"/>
      <c r="U78" s="11"/>
      <c r="V78" s="11"/>
      <c r="W78" s="11"/>
    </row>
    <row r="79">
      <c r="A79" s="11"/>
      <c r="B79" s="11"/>
      <c r="C79" s="11"/>
      <c r="D79" s="11"/>
      <c r="E79" s="11"/>
      <c r="F79" s="11"/>
      <c r="G79" s="11"/>
      <c r="H79" s="11"/>
      <c r="I79" s="11"/>
      <c r="J79" s="11"/>
      <c r="K79" s="11"/>
      <c r="L79" s="11"/>
      <c r="M79" s="11"/>
      <c r="N79" s="11"/>
      <c r="O79" s="11"/>
      <c r="P79" s="11"/>
      <c r="Q79" s="11"/>
      <c r="R79" s="11"/>
      <c r="S79" s="11"/>
      <c r="T79" s="11"/>
      <c r="U79" s="11"/>
      <c r="V79" s="11"/>
      <c r="W79" s="11"/>
    </row>
    <row r="80">
      <c r="A80" s="11"/>
      <c r="B80" s="11"/>
      <c r="C80" s="11"/>
      <c r="D80" s="11"/>
      <c r="E80" s="11"/>
      <c r="F80" s="11"/>
      <c r="G80" s="11"/>
      <c r="H80" s="11"/>
      <c r="I80" s="11"/>
      <c r="J80" s="11"/>
      <c r="K80" s="11"/>
      <c r="L80" s="11"/>
      <c r="M80" s="11"/>
      <c r="N80" s="11"/>
      <c r="O80" s="11"/>
      <c r="P80" s="11"/>
      <c r="Q80" s="11"/>
      <c r="R80" s="11"/>
      <c r="S80" s="11"/>
      <c r="T80" s="11"/>
      <c r="U80" s="11"/>
      <c r="V80" s="11"/>
      <c r="W80" s="11"/>
    </row>
    <row r="81">
      <c r="A81" s="11"/>
      <c r="B81" s="11"/>
      <c r="C81" s="11"/>
      <c r="D81" s="11"/>
      <c r="E81" s="11"/>
      <c r="F81" s="11"/>
      <c r="G81" s="11"/>
      <c r="H81" s="11"/>
      <c r="I81" s="11"/>
      <c r="J81" s="11"/>
      <c r="K81" s="11"/>
      <c r="L81" s="11"/>
      <c r="M81" s="11"/>
      <c r="N81" s="11"/>
      <c r="O81" s="11"/>
      <c r="P81" s="11"/>
      <c r="Q81" s="11"/>
      <c r="R81" s="11"/>
      <c r="S81" s="11"/>
      <c r="T81" s="11"/>
      <c r="U81" s="11"/>
      <c r="V81" s="11"/>
      <c r="W81" s="11"/>
    </row>
    <row r="82">
      <c r="A82" s="11"/>
      <c r="B82" s="11"/>
      <c r="C82" s="11"/>
      <c r="D82" s="11"/>
      <c r="E82" s="11"/>
      <c r="F82" s="11"/>
      <c r="G82" s="11"/>
      <c r="H82" s="11"/>
      <c r="I82" s="11"/>
      <c r="J82" s="11"/>
      <c r="K82" s="11"/>
      <c r="L82" s="11"/>
      <c r="M82" s="11"/>
      <c r="N82" s="11"/>
      <c r="O82" s="11"/>
      <c r="P82" s="11"/>
      <c r="Q82" s="11"/>
      <c r="R82" s="11"/>
      <c r="S82" s="11"/>
      <c r="T82" s="11"/>
      <c r="U82" s="11"/>
      <c r="V82" s="11"/>
      <c r="W82" s="11"/>
    </row>
    <row r="83">
      <c r="A83" s="11"/>
      <c r="B83" s="11"/>
      <c r="C83" s="11"/>
      <c r="D83" s="11"/>
      <c r="E83" s="11"/>
      <c r="F83" s="11"/>
      <c r="G83" s="11"/>
      <c r="H83" s="11"/>
      <c r="I83" s="11"/>
      <c r="J83" s="11"/>
      <c r="K83" s="11"/>
      <c r="L83" s="11"/>
      <c r="M83" s="11"/>
      <c r="N83" s="11"/>
      <c r="O83" s="11"/>
      <c r="P83" s="11"/>
      <c r="Q83" s="11"/>
      <c r="R83" s="11"/>
      <c r="S83" s="11"/>
      <c r="T83" s="11"/>
      <c r="U83" s="11"/>
      <c r="V83" s="11"/>
      <c r="W83" s="11"/>
    </row>
    <row r="84">
      <c r="A84" s="11"/>
      <c r="B84" s="11"/>
      <c r="C84" s="11"/>
      <c r="D84" s="11"/>
      <c r="E84" s="11"/>
      <c r="F84" s="11"/>
      <c r="G84" s="11"/>
      <c r="H84" s="11"/>
      <c r="I84" s="11"/>
      <c r="J84" s="11"/>
      <c r="K84" s="11"/>
      <c r="L84" s="11"/>
      <c r="M84" s="11"/>
      <c r="N84" s="11"/>
      <c r="O84" s="11"/>
      <c r="P84" s="11"/>
      <c r="Q84" s="11"/>
      <c r="R84" s="11"/>
      <c r="S84" s="11"/>
      <c r="T84" s="11"/>
      <c r="U84" s="11"/>
      <c r="V84" s="11"/>
      <c r="W84" s="11"/>
    </row>
    <row r="85">
      <c r="A85" s="11"/>
      <c r="B85" s="11"/>
      <c r="C85" s="11"/>
      <c r="D85" s="11"/>
      <c r="E85" s="11"/>
      <c r="F85" s="11"/>
      <c r="G85" s="11"/>
      <c r="H85" s="11"/>
      <c r="I85" s="11"/>
      <c r="J85" s="11"/>
      <c r="K85" s="11"/>
      <c r="L85" s="11"/>
      <c r="M85" s="11"/>
      <c r="N85" s="11"/>
      <c r="O85" s="11"/>
      <c r="P85" s="11"/>
      <c r="Q85" s="11"/>
      <c r="R85" s="11"/>
      <c r="S85" s="11"/>
      <c r="T85" s="11"/>
      <c r="U85" s="11"/>
      <c r="V85" s="11"/>
      <c r="W85" s="11"/>
    </row>
    <row r="86">
      <c r="A86" s="11"/>
      <c r="B86" s="11"/>
      <c r="C86" s="11"/>
      <c r="D86" s="11"/>
      <c r="E86" s="11"/>
      <c r="F86" s="11"/>
      <c r="G86" s="11"/>
      <c r="H86" s="11"/>
      <c r="I86" s="11"/>
      <c r="J86" s="11"/>
      <c r="K86" s="11"/>
      <c r="L86" s="11"/>
      <c r="M86" s="11"/>
      <c r="N86" s="11"/>
      <c r="O86" s="11"/>
      <c r="P86" s="11"/>
      <c r="Q86" s="11"/>
      <c r="R86" s="11"/>
      <c r="S86" s="11"/>
      <c r="T86" s="11"/>
      <c r="U86" s="11"/>
      <c r="V86" s="11"/>
      <c r="W86" s="11"/>
    </row>
    <row r="87">
      <c r="A87" s="11"/>
      <c r="B87" s="11"/>
      <c r="C87" s="11"/>
      <c r="D87" s="11"/>
      <c r="E87" s="11"/>
      <c r="F87" s="11"/>
      <c r="G87" s="11"/>
      <c r="H87" s="11"/>
      <c r="I87" s="11"/>
      <c r="J87" s="11"/>
      <c r="K87" s="11"/>
      <c r="L87" s="11"/>
      <c r="M87" s="11"/>
      <c r="N87" s="11"/>
      <c r="O87" s="11"/>
      <c r="P87" s="11"/>
      <c r="Q87" s="11"/>
      <c r="R87" s="11"/>
      <c r="S87" s="11"/>
      <c r="T87" s="11"/>
      <c r="U87" s="11"/>
      <c r="V87" s="11"/>
      <c r="W87" s="11"/>
    </row>
    <row r="88">
      <c r="A88" s="11"/>
      <c r="B88" s="11"/>
      <c r="C88" s="11"/>
      <c r="D88" s="11"/>
      <c r="E88" s="11"/>
      <c r="F88" s="11"/>
      <c r="G88" s="11"/>
      <c r="H88" s="11"/>
      <c r="I88" s="11"/>
      <c r="J88" s="11"/>
      <c r="K88" s="11"/>
      <c r="L88" s="11"/>
      <c r="M88" s="11"/>
      <c r="N88" s="11"/>
      <c r="O88" s="11"/>
      <c r="P88" s="11"/>
      <c r="Q88" s="11"/>
      <c r="R88" s="11"/>
      <c r="S88" s="11"/>
      <c r="T88" s="11"/>
      <c r="U88" s="11"/>
      <c r="V88" s="11"/>
      <c r="W88" s="11"/>
    </row>
    <row r="89">
      <c r="A89" s="11"/>
      <c r="B89" s="11"/>
      <c r="C89" s="11"/>
      <c r="D89" s="11"/>
      <c r="E89" s="11"/>
      <c r="F89" s="11"/>
      <c r="G89" s="11"/>
      <c r="H89" s="11"/>
      <c r="I89" s="11"/>
      <c r="J89" s="11"/>
      <c r="K89" s="11"/>
      <c r="L89" s="11"/>
      <c r="M89" s="11"/>
      <c r="N89" s="11"/>
      <c r="O89" s="11"/>
      <c r="P89" s="11"/>
      <c r="Q89" s="11"/>
      <c r="R89" s="11"/>
      <c r="S89" s="11"/>
      <c r="T89" s="11"/>
      <c r="U89" s="11"/>
      <c r="V89" s="11"/>
      <c r="W89" s="11"/>
    </row>
    <row r="90">
      <c r="A90" s="11"/>
      <c r="B90" s="11"/>
      <c r="C90" s="11"/>
      <c r="D90" s="11"/>
      <c r="E90" s="11"/>
      <c r="F90" s="11"/>
      <c r="G90" s="11"/>
      <c r="H90" s="11"/>
      <c r="I90" s="11"/>
      <c r="J90" s="11"/>
      <c r="K90" s="11"/>
      <c r="L90" s="11"/>
      <c r="M90" s="11"/>
      <c r="N90" s="11"/>
      <c r="O90" s="11"/>
      <c r="P90" s="11"/>
      <c r="Q90" s="11"/>
      <c r="R90" s="11"/>
      <c r="S90" s="11"/>
      <c r="T90" s="11"/>
      <c r="U90" s="11"/>
      <c r="V90" s="11"/>
      <c r="W90" s="11"/>
    </row>
    <row r="91">
      <c r="A91" s="11"/>
      <c r="B91" s="11"/>
      <c r="C91" s="11"/>
      <c r="D91" s="11"/>
      <c r="E91" s="11"/>
      <c r="F91" s="11"/>
      <c r="G91" s="11"/>
      <c r="H91" s="11"/>
      <c r="I91" s="11"/>
      <c r="J91" s="11"/>
      <c r="K91" s="11"/>
      <c r="L91" s="11"/>
      <c r="M91" s="11"/>
      <c r="N91" s="11"/>
      <c r="O91" s="11"/>
      <c r="P91" s="11"/>
      <c r="Q91" s="11"/>
      <c r="R91" s="11"/>
      <c r="S91" s="11"/>
      <c r="T91" s="11"/>
      <c r="U91" s="11"/>
      <c r="V91" s="11"/>
      <c r="W91" s="11"/>
    </row>
    <row r="92">
      <c r="A92" s="11"/>
      <c r="B92" s="11"/>
      <c r="C92" s="11"/>
      <c r="D92" s="11"/>
      <c r="E92" s="11"/>
      <c r="F92" s="11"/>
      <c r="G92" s="11"/>
      <c r="H92" s="11"/>
      <c r="I92" s="11"/>
      <c r="J92" s="11"/>
      <c r="K92" s="11"/>
      <c r="L92" s="11"/>
      <c r="M92" s="11"/>
      <c r="N92" s="11"/>
      <c r="O92" s="11"/>
      <c r="P92" s="11"/>
      <c r="Q92" s="11"/>
      <c r="R92" s="11"/>
      <c r="S92" s="11"/>
      <c r="T92" s="11"/>
      <c r="U92" s="11"/>
      <c r="V92" s="11"/>
      <c r="W92" s="11"/>
    </row>
    <row r="93">
      <c r="A93" s="11"/>
      <c r="B93" s="11"/>
      <c r="C93" s="11"/>
      <c r="D93" s="11"/>
      <c r="E93" s="11"/>
      <c r="F93" s="11"/>
      <c r="G93" s="11"/>
      <c r="H93" s="11"/>
      <c r="I93" s="11"/>
      <c r="J93" s="11"/>
      <c r="K93" s="11"/>
      <c r="L93" s="11"/>
      <c r="M93" s="11"/>
      <c r="N93" s="11"/>
      <c r="O93" s="11"/>
      <c r="P93" s="11"/>
      <c r="Q93" s="11"/>
      <c r="R93" s="11"/>
      <c r="S93" s="11"/>
      <c r="T93" s="11"/>
      <c r="U93" s="11"/>
      <c r="V93" s="11"/>
      <c r="W93" s="11"/>
    </row>
    <row r="94">
      <c r="A94" s="11"/>
      <c r="B94" s="11"/>
      <c r="C94" s="11"/>
      <c r="D94" s="11"/>
      <c r="E94" s="11"/>
      <c r="F94" s="11"/>
      <c r="G94" s="11"/>
      <c r="H94" s="11"/>
      <c r="I94" s="11"/>
      <c r="J94" s="11"/>
      <c r="K94" s="11"/>
      <c r="L94" s="11"/>
      <c r="M94" s="11"/>
      <c r="N94" s="11"/>
      <c r="O94" s="11"/>
      <c r="P94" s="11"/>
      <c r="Q94" s="11"/>
      <c r="R94" s="11"/>
      <c r="S94" s="11"/>
      <c r="T94" s="11"/>
      <c r="U94" s="11"/>
      <c r="V94" s="11"/>
      <c r="W94" s="11"/>
    </row>
    <row r="95">
      <c r="A95" s="11"/>
      <c r="B95" s="11"/>
      <c r="C95" s="11"/>
      <c r="D95" s="11"/>
      <c r="E95" s="11"/>
      <c r="F95" s="11"/>
      <c r="G95" s="11"/>
      <c r="H95" s="11"/>
      <c r="I95" s="11"/>
      <c r="J95" s="11"/>
      <c r="K95" s="11"/>
      <c r="L95" s="11"/>
      <c r="M95" s="11"/>
      <c r="N95" s="11"/>
      <c r="O95" s="11"/>
      <c r="P95" s="11"/>
      <c r="Q95" s="11"/>
      <c r="R95" s="11"/>
      <c r="S95" s="11"/>
      <c r="T95" s="11"/>
      <c r="U95" s="11"/>
      <c r="V95" s="11"/>
      <c r="W95" s="11"/>
    </row>
    <row r="96">
      <c r="A96" s="11"/>
      <c r="B96" s="11"/>
      <c r="C96" s="11"/>
      <c r="D96" s="11"/>
      <c r="E96" s="11"/>
      <c r="F96" s="11"/>
      <c r="G96" s="11"/>
      <c r="H96" s="11"/>
      <c r="I96" s="11"/>
      <c r="J96" s="11"/>
      <c r="K96" s="11"/>
      <c r="L96" s="11"/>
      <c r="M96" s="11"/>
      <c r="N96" s="11"/>
      <c r="O96" s="11"/>
      <c r="P96" s="11"/>
      <c r="Q96" s="11"/>
      <c r="R96" s="11"/>
      <c r="S96" s="11"/>
      <c r="T96" s="11"/>
      <c r="U96" s="11"/>
      <c r="V96" s="11"/>
      <c r="W96" s="11"/>
    </row>
    <row r="97">
      <c r="A97" s="11"/>
      <c r="B97" s="11"/>
      <c r="C97" s="11"/>
      <c r="D97" s="11"/>
      <c r="E97" s="11"/>
      <c r="F97" s="11"/>
      <c r="G97" s="11"/>
      <c r="H97" s="11"/>
      <c r="I97" s="11"/>
      <c r="J97" s="11"/>
      <c r="K97" s="11"/>
      <c r="L97" s="11"/>
      <c r="M97" s="11"/>
      <c r="N97" s="11"/>
      <c r="O97" s="11"/>
      <c r="P97" s="11"/>
      <c r="Q97" s="11"/>
      <c r="R97" s="11"/>
      <c r="S97" s="11"/>
      <c r="T97" s="11"/>
      <c r="U97" s="11"/>
      <c r="V97" s="11"/>
      <c r="W97" s="11"/>
    </row>
    <row r="98">
      <c r="A98" s="11"/>
      <c r="B98" s="11"/>
      <c r="C98" s="11"/>
      <c r="D98" s="11"/>
      <c r="E98" s="11"/>
      <c r="F98" s="11"/>
      <c r="G98" s="11"/>
      <c r="H98" s="11"/>
      <c r="I98" s="11"/>
      <c r="J98" s="11"/>
      <c r="K98" s="11"/>
      <c r="L98" s="11"/>
      <c r="M98" s="11"/>
      <c r="N98" s="11"/>
      <c r="O98" s="11"/>
      <c r="P98" s="11"/>
      <c r="Q98" s="11"/>
      <c r="R98" s="11"/>
      <c r="S98" s="11"/>
      <c r="T98" s="11"/>
      <c r="U98" s="11"/>
      <c r="V98" s="11"/>
      <c r="W98" s="11"/>
    </row>
    <row r="99">
      <c r="A99" s="11"/>
      <c r="B99" s="11"/>
      <c r="C99" s="11"/>
      <c r="D99" s="11"/>
      <c r="E99" s="11"/>
      <c r="F99" s="11"/>
      <c r="G99" s="11"/>
      <c r="H99" s="11"/>
      <c r="I99" s="11"/>
      <c r="J99" s="11"/>
      <c r="K99" s="11"/>
      <c r="L99" s="11"/>
      <c r="M99" s="11"/>
      <c r="N99" s="11"/>
      <c r="O99" s="11"/>
      <c r="P99" s="11"/>
      <c r="Q99" s="11"/>
      <c r="R99" s="11"/>
      <c r="S99" s="11"/>
      <c r="T99" s="11"/>
      <c r="U99" s="11"/>
      <c r="V99" s="11"/>
      <c r="W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1" max="1" width="21.56"/>
    <col customWidth="1" min="2" max="2" width="17.56"/>
    <col customWidth="1" min="4" max="4" width="13.11"/>
  </cols>
  <sheetData>
    <row r="1"/>
    <row r="2"/>
    <row r="3"/>
    <row r="4"/>
    <row r="5"/>
    <row r="6"/>
    <row r="7"/>
    <row r="8"/>
    <row r="9"/>
    <row r="10"/>
    <row r="11"/>
    <row r="12"/>
    <row r="13"/>
    <row r="14"/>
    <row r="15"/>
    <row r="16"/>
    <row r="17"/>
    <row r="18"/>
    <row r="19"/>
    <row r="20"/>
    <row r="21"/>
    <row r="22"/>
    <row r="23"/>
    <row r="24"/>
    <row r="25"/>
    <row r="26"/>
    <row r="27"/>
    <row r="28"/>
    <row r="29"/>
    <row r="30"/>
    <row r="31"/>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sheetData>
    <row r="1"/>
    <row r="2"/>
    <row r="3"/>
    <row r="4"/>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4" max="4" width="28.11"/>
    <col customWidth="1" min="6" max="6" width="19.67"/>
    <col customWidth="1" min="7" max="7" width="65.56"/>
  </cols>
  <sheetData>
    <row r="4">
      <c r="D4" s="15"/>
      <c r="E4" s="15"/>
      <c r="F4" s="15"/>
      <c r="G4" s="15"/>
    </row>
    <row r="5">
      <c r="D5" s="16" t="s">
        <v>260</v>
      </c>
      <c r="E5" s="16" t="s">
        <v>261</v>
      </c>
      <c r="F5" s="15"/>
      <c r="G5" s="17" t="s">
        <v>262</v>
      </c>
    </row>
    <row r="6">
      <c r="D6" s="18" t="s">
        <v>263</v>
      </c>
      <c r="E6" s="19">
        <v>0.5</v>
      </c>
      <c r="F6" s="15"/>
      <c r="G6" s="20" t="s">
        <v>264</v>
      </c>
    </row>
    <row r="7">
      <c r="D7" s="18" t="s">
        <v>265</v>
      </c>
      <c r="E7" s="21">
        <v>296.0</v>
      </c>
      <c r="F7" s="15"/>
      <c r="G7" s="20" t="s">
        <v>266</v>
      </c>
    </row>
    <row r="8">
      <c r="D8" s="15"/>
      <c r="E8" s="15"/>
      <c r="F8" s="15"/>
      <c r="G8" s="22"/>
    </row>
    <row r="9">
      <c r="D9" s="15"/>
      <c r="E9" s="23" t="s">
        <v>267</v>
      </c>
      <c r="F9" s="23" t="s">
        <v>268</v>
      </c>
      <c r="G9" s="22"/>
    </row>
    <row r="10">
      <c r="D10" s="24" t="s">
        <v>269</v>
      </c>
      <c r="E10" s="25">
        <v>0.125</v>
      </c>
      <c r="F10" s="26">
        <v>4780994.0</v>
      </c>
      <c r="G10" s="20" t="s">
        <v>270</v>
      </c>
    </row>
    <row r="11">
      <c r="D11" s="27" t="s">
        <v>271</v>
      </c>
      <c r="E11" s="25">
        <v>1.0</v>
      </c>
      <c r="F11" s="26">
        <v>12135.0</v>
      </c>
      <c r="G11" s="20" t="s">
        <v>272</v>
      </c>
    </row>
    <row r="12">
      <c r="D12" s="27" t="s">
        <v>273</v>
      </c>
      <c r="E12" s="25">
        <v>50.0</v>
      </c>
      <c r="F12" s="26">
        <v>20431.0</v>
      </c>
      <c r="G12" s="20" t="s">
        <v>274</v>
      </c>
    </row>
    <row r="13">
      <c r="D13" s="27" t="s">
        <v>275</v>
      </c>
      <c r="E13" s="25">
        <v>100.0</v>
      </c>
      <c r="F13" s="26">
        <v>4000.0</v>
      </c>
      <c r="G13" s="20" t="s">
        <v>276</v>
      </c>
    </row>
    <row r="14">
      <c r="D14" s="27" t="s">
        <v>277</v>
      </c>
      <c r="E14" s="25">
        <v>0.0</v>
      </c>
      <c r="F14" s="26">
        <v>2932.0</v>
      </c>
      <c r="G14" s="22"/>
    </row>
    <row r="15">
      <c r="D15" s="25" t="s">
        <v>278</v>
      </c>
      <c r="E15" s="25">
        <v>100.0</v>
      </c>
      <c r="F15" s="28">
        <f>F14*2</f>
        <v>5864</v>
      </c>
      <c r="G15" s="20" t="s">
        <v>279</v>
      </c>
    </row>
    <row r="16">
      <c r="D16" s="15"/>
      <c r="E16" s="15"/>
      <c r="F16" s="15"/>
      <c r="G16" s="15"/>
    </row>
    <row r="17">
      <c r="D17" s="25" t="s">
        <v>23</v>
      </c>
      <c r="E17" s="29">
        <f>E10*F10*E6+E11*F11*E7+E12*F12*E6+E13*F13*E6+E15*F14*E6</f>
        <v>4748147.125</v>
      </c>
      <c r="F17" s="15"/>
      <c r="G17" s="20"/>
    </row>
    <row r="18">
      <c r="D18" s="15"/>
      <c r="E18" s="15"/>
      <c r="F18" s="15"/>
      <c r="G18" s="20"/>
    </row>
    <row r="19">
      <c r="D19" s="25" t="s">
        <v>280</v>
      </c>
      <c r="E19" s="30">
        <v>0.26</v>
      </c>
      <c r="F19" s="15"/>
      <c r="G19" s="20" t="s">
        <v>281</v>
      </c>
    </row>
    <row r="20">
      <c r="D20" s="25" t="s">
        <v>282</v>
      </c>
      <c r="E20" s="25">
        <v>1000.0</v>
      </c>
      <c r="F20" s="15"/>
      <c r="G20" s="20" t="s">
        <v>283</v>
      </c>
    </row>
    <row r="21">
      <c r="D21" s="25" t="s">
        <v>284</v>
      </c>
      <c r="E21" s="25">
        <v>200.0</v>
      </c>
      <c r="F21" s="15"/>
      <c r="G21" s="20" t="s">
        <v>285</v>
      </c>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4" max="4" width="28.11"/>
    <col customWidth="1" min="6" max="6" width="19.67"/>
    <col customWidth="1" min="7" max="7" width="65.56"/>
  </cols>
  <sheetData>
    <row r="4">
      <c r="D4" s="15"/>
      <c r="E4" s="15"/>
      <c r="F4" s="15"/>
      <c r="G4" s="15"/>
    </row>
    <row r="5">
      <c r="D5" s="16" t="s">
        <v>260</v>
      </c>
      <c r="E5" s="16" t="s">
        <v>261</v>
      </c>
      <c r="F5" s="15"/>
      <c r="G5" s="17" t="s">
        <v>262</v>
      </c>
    </row>
    <row r="6">
      <c r="D6" s="18" t="s">
        <v>263</v>
      </c>
      <c r="E6" s="19">
        <v>0.5</v>
      </c>
      <c r="F6" s="15"/>
      <c r="G6" s="20" t="s">
        <v>264</v>
      </c>
    </row>
    <row r="7">
      <c r="D7" s="18" t="s">
        <v>265</v>
      </c>
      <c r="E7" s="21">
        <v>296.0</v>
      </c>
      <c r="F7" s="15"/>
      <c r="G7" s="20" t="s">
        <v>266</v>
      </c>
    </row>
    <row r="8">
      <c r="D8" s="15"/>
      <c r="E8" s="15"/>
      <c r="F8" s="15"/>
      <c r="G8" s="22"/>
    </row>
    <row r="9">
      <c r="D9" s="15"/>
      <c r="E9" s="23" t="s">
        <v>267</v>
      </c>
      <c r="F9" s="23" t="s">
        <v>268</v>
      </c>
      <c r="G9" s="22"/>
    </row>
    <row r="10">
      <c r="D10" s="24" t="s">
        <v>269</v>
      </c>
      <c r="E10" s="25">
        <v>0.125</v>
      </c>
      <c r="F10" s="31">
        <v>1.3537927E7</v>
      </c>
      <c r="G10" s="20" t="s">
        <v>270</v>
      </c>
    </row>
    <row r="11">
      <c r="D11" s="27" t="s">
        <v>271</v>
      </c>
      <c r="E11" s="25">
        <v>1.0</v>
      </c>
      <c r="F11" s="31">
        <v>31851.0</v>
      </c>
      <c r="G11" s="20" t="s">
        <v>272</v>
      </c>
    </row>
    <row r="12">
      <c r="D12" s="27" t="s">
        <v>273</v>
      </c>
      <c r="E12" s="25">
        <v>50.0</v>
      </c>
      <c r="F12" s="31">
        <v>101693.0</v>
      </c>
      <c r="G12" s="20" t="s">
        <v>274</v>
      </c>
    </row>
    <row r="13">
      <c r="D13" s="27" t="s">
        <v>275</v>
      </c>
      <c r="E13" s="25">
        <v>100.0</v>
      </c>
      <c r="F13" s="31">
        <v>23898.0</v>
      </c>
      <c r="G13" s="20" t="s">
        <v>276</v>
      </c>
    </row>
    <row r="14">
      <c r="D14" s="27" t="s">
        <v>277</v>
      </c>
      <c r="E14" s="25">
        <v>0.0</v>
      </c>
      <c r="F14" s="31">
        <v>8914.0</v>
      </c>
      <c r="G14" s="22"/>
    </row>
    <row r="15">
      <c r="D15" s="25" t="s">
        <v>278</v>
      </c>
      <c r="E15" s="25">
        <v>100.0</v>
      </c>
      <c r="F15" s="28">
        <f>F14*2</f>
        <v>17828</v>
      </c>
      <c r="G15" s="20" t="s">
        <v>279</v>
      </c>
    </row>
    <row r="16">
      <c r="D16" s="15"/>
      <c r="E16" s="15"/>
      <c r="F16" s="15"/>
      <c r="G16" s="15"/>
    </row>
    <row r="17">
      <c r="D17" s="25" t="s">
        <v>23</v>
      </c>
      <c r="E17" s="29">
        <f>E10*F10*E6+E11*F11*E7+E12*F12*E6+E13*F13*E6+E15*F14*E6</f>
        <v>14456941.44</v>
      </c>
      <c r="F17" s="15"/>
      <c r="G17" s="20"/>
    </row>
    <row r="18">
      <c r="D18" s="15"/>
      <c r="E18" s="15"/>
      <c r="F18" s="15"/>
      <c r="G18" s="20"/>
    </row>
    <row r="19">
      <c r="D19" s="25" t="s">
        <v>280</v>
      </c>
      <c r="E19" s="30">
        <v>0.26</v>
      </c>
      <c r="F19" s="15"/>
      <c r="G19" s="20" t="s">
        <v>281</v>
      </c>
    </row>
    <row r="20">
      <c r="D20" s="25" t="s">
        <v>282</v>
      </c>
      <c r="E20" s="25">
        <v>1000.0</v>
      </c>
      <c r="F20" s="15"/>
      <c r="G20" s="20" t="s">
        <v>283</v>
      </c>
    </row>
    <row r="21">
      <c r="D21" s="25" t="s">
        <v>284</v>
      </c>
      <c r="E21" s="25">
        <v>200.0</v>
      </c>
      <c r="F21" s="15"/>
      <c r="G21" s="20" t="s">
        <v>285</v>
      </c>
    </row>
  </sheetData>
  <drawing r:id="rId2"/>
  <legacyDrawing r:id="rId3"/>
</worksheet>
</file>